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<sst xmlns="http://schemas.openxmlformats.org/spreadsheetml/2006/main" count="76" uniqueCount="75">
  <si>
    <t xml:space="preserve">Investment Policy Statement (IPS)</t>
  </si>
  <si>
    <t xml:space="preserve">La 'costituzione' del tuo portafoglio: le regole che il te di oggi, a mente fredda, scrive per il te di domani. Compila le celle GIALLE. Le bande di ribilanciamento si calcolano da sole dai target. La revisione periodica (cruscotto) misura l'aderenza a ciò che decidi qui.</t>
  </si>
  <si>
    <t xml:space="preserve">Redatto da</t>
  </si>
  <si>
    <t xml:space="preserve">[nome]</t>
  </si>
  <si>
    <t xml:space="preserve">Data redazione</t>
  </si>
  <si>
    <t xml:space="preserve">[gg/mm/aaaa]</t>
  </si>
  <si>
    <t xml:space="preserve">Ultima revisione</t>
  </si>
  <si>
    <t xml:space="preserve">1. Obiettivi e orizzonti</t>
  </si>
  <si>
    <t xml:space="preserve">Obiettivo</t>
  </si>
  <si>
    <t xml:space="preserve">Importo target (€)</t>
  </si>
  <si>
    <t xml:space="preserve">Scadenza (anno)</t>
  </si>
  <si>
    <t xml:space="preserve">Profilo</t>
  </si>
  <si>
    <t xml:space="preserve">Fondo di emergenza</t>
  </si>
  <si>
    <t xml:space="preserve">Preservazione</t>
  </si>
  <si>
    <t xml:space="preserve">Università figli</t>
  </si>
  <si>
    <t xml:space="preserve">Crescita</t>
  </si>
  <si>
    <t xml:space="preserve">[obiettivo]</t>
  </si>
  <si>
    <t xml:space="preserve">[profilo]</t>
  </si>
  <si>
    <t xml:space="preserve">Pensione (tasso sostituzione obiettivo)</t>
  </si>
  <si>
    <t xml:space="preserve">[—]%</t>
  </si>
  <si>
    <t xml:space="preserve">2. Profilo di rischio</t>
  </si>
  <si>
    <t xml:space="preserve">Tolleranza al rischio</t>
  </si>
  <si>
    <t xml:space="preserve">[bassa / media / alta]</t>
  </si>
  <si>
    <t xml:space="preserve">quanto rischio SONO DISPOSTO a correre (emotivo)</t>
  </si>
  <si>
    <t xml:space="preserve">Capacità di rischio</t>
  </si>
  <si>
    <t xml:space="preserve">[orizzonte lungo, reddito stabile, …]</t>
  </si>
  <si>
    <t xml:space="preserve">quanto rischio POSSO PERMETTERMI (oggettivo: età, orizzonte)</t>
  </si>
  <si>
    <t xml:space="preserve">Max perdita temporanea accettata</t>
  </si>
  <si>
    <t xml:space="preserve">la perdita che reggo SENZA cambiare piano. È ciò che un crollo mette alla prova</t>
  </si>
  <si>
    <t xml:space="preserve">3-4. Allocazione strategica e bande di ribilanciamento</t>
  </si>
  <si>
    <t xml:space="preserve">Classe</t>
  </si>
  <si>
    <t xml:space="preserve">Target</t>
  </si>
  <si>
    <t xml:space="preserve">Banda (5/25)</t>
  </si>
  <si>
    <t xml:space="preserve">Soglia inferiore</t>
  </si>
  <si>
    <t xml:space="preserve">Soglia superiore</t>
  </si>
  <si>
    <t xml:space="preserve">Azionario</t>
  </si>
  <si>
    <t xml:space="preserve">Obbligazionario</t>
  </si>
  <si>
    <t xml:space="preserve">Liquidità</t>
  </si>
  <si>
    <t xml:space="preserve">[Altro]</t>
  </si>
  <si>
    <t xml:space="preserve">Totale</t>
  </si>
  <si>
    <t xml:space="preserve">Banda 5/25 = minore tra 5 punti assoluti e 25% del target: per le classi piccole vince il 25% relativo (banda più stretta), per quelle grandi i 5 punti. Si allarga quando correggere costa imposta netta (vedi bande-dinamiche.md). Esci dalla banda → ribilancia.</t>
  </si>
  <si>
    <t xml:space="preserve">Glide path</t>
  </si>
  <si>
    <t xml:space="preserve">[finestra di de-risking e atterraggio per obiettivo]</t>
  </si>
  <si>
    <t xml:space="preserve">come l'allocazione si de-riska avvicinandosi agli obiettivi</t>
  </si>
  <si>
    <t xml:space="preserve">5. Regole nei drawdown — il cuore comportamentale</t>
  </si>
  <si>
    <t xml:space="preserve">Cosa faccio, e soprattutto cosa NON faccio, quando i mercati crollano. Scritto ORA, a mente fredda, per vincolare il me futuro in preda all'emozione:</t>
  </si>
  <si>
    <t xml:space="preserve">•  Non vendo per panico.</t>
  </si>
  <si>
    <t xml:space="preserve">•  Ribilancio secondo le bande, comprando la classe scesa.</t>
  </si>
  <si>
    <t xml:space="preserve">•  Controllo il portafoglio al massimo una volta al mese.</t>
  </si>
  <si>
    <t xml:space="preserve">•  Non modifico questo IPS durante un crollo.</t>
  </si>
  <si>
    <t xml:space="preserve">6. Politica di versamento</t>
  </si>
  <si>
    <t xml:space="preserve">Importo mensile (€)</t>
  </si>
  <si>
    <t xml:space="preserve">quanto verso, con regolarità</t>
  </si>
  <si>
    <t xml:space="preserve">Criterio di indirizzo</t>
  </si>
  <si>
    <t xml:space="preserve">alla classe sottopesata; al fondo pensione se c'è gap previdenziale</t>
  </si>
  <si>
    <t xml:space="preserve">ribilanciare via flussi prima che con le vendite (Leva 1)</t>
  </si>
  <si>
    <t xml:space="preserve">7. Politica di prelievo (decumulo)</t>
  </si>
  <si>
    <t xml:space="preserve">Tasso di prelievo iniziale</t>
  </si>
  <si>
    <t xml:space="preserve">3-3,5% più difendibile del 4% per un orizzonte lungo (vedi decumulo.md)</t>
  </si>
  <si>
    <t xml:space="preserve">Fonti in ordine</t>
  </si>
  <si>
    <t xml:space="preserve">liquidità/buffer → flussi già tassati → vendite tax-aware → fondo pensione</t>
  </si>
  <si>
    <t xml:space="preserve">sequenza di liquidazione fiscale (vedi sequenza-liquidazione.md)</t>
  </si>
  <si>
    <t xml:space="preserve">8. Vincoli fiscali da rispettare</t>
  </si>
  <si>
    <t xml:space="preserve">•  Usare le minus in scadenza entro il 31/12.</t>
  </si>
  <si>
    <t xml:space="preserve">•  Versare al fondo pensione entro il 31/12 per la deduzione.</t>
  </si>
  <si>
    <t xml:space="preserve">•  Preferire strumenti compensabili quando c'è zainetto.</t>
  </si>
  <si>
    <t xml:space="preserve">9. Cadenza di revisione</t>
  </si>
  <si>
    <t xml:space="preserve">Revisione annuale completa</t>
  </si>
  <si>
    <t xml:space="preserve">[mese]</t>
  </si>
  <si>
    <t xml:space="preserve">quando rifaccio il punto e verifico l'aderenza a questo IPS</t>
  </si>
  <si>
    <t xml:space="preserve">Mini-revisione fiscale</t>
  </si>
  <si>
    <t xml:space="preserve">novembre-dicembre</t>
  </si>
  <si>
    <t xml:space="preserve">per le scadenze minus e il versamento al fondo pensione</t>
  </si>
  <si>
    <t xml:space="preserve">Regola: modifico questo IPS solo per eventi STRUTTURALI (nuovo obiettivo, cambio di reddito o fase di vita), mai in reazione a un movimento di mercato.</t>
  </si>
  <si>
    <t xml:space="preserve">Disclaimer: documento di organizzazione personale e disciplina comportamentale. Non è consulenza finanziaria. Per le decisioni di investimento consultare un professionista abilitato.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</si>
</sst>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472C4"/>
        <bgColor rgb="FF666666"/>
      </patternFill>
    </fill>
    <fill>
      <patternFill patternType="solid">
        <fgColor rgb="FF8EAA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5" min="3" style="1" width="18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5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4" t="s">
        <v>6</v>
      </c>
      <c r="B5" s="5" t="s">
        <v>5</v>
      </c>
    </row>
    <row r="7" customFormat="false" ht="15" hidden="false" customHeight="false" outlineLevel="0" collapsed="false">
      <c r="A7" s="6" t="s">
        <v>7</v>
      </c>
      <c r="B7" s="6"/>
      <c r="C7" s="6"/>
      <c r="D7" s="6"/>
      <c r="E7" s="6"/>
    </row>
    <row r="8" customFormat="false" ht="15" hidden="false" customHeight="false" outlineLevel="0" collapsed="false">
      <c r="A8" s="7" t="s">
        <v>8</v>
      </c>
      <c r="B8" s="7" t="s">
        <v>9</v>
      </c>
      <c r="C8" s="7" t="s">
        <v>10</v>
      </c>
      <c r="D8" s="7" t="s">
        <v>11</v>
      </c>
    </row>
    <row r="9" customFormat="false" ht="15" hidden="false" customHeight="false" outlineLevel="0" collapsed="false">
      <c r="A9" s="8" t="s">
        <v>12</v>
      </c>
      <c r="B9" s="9" t="n">
        <v>12000</v>
      </c>
      <c r="C9" s="10" t="n">
        <v>2030</v>
      </c>
      <c r="D9" s="8" t="s">
        <v>13</v>
      </c>
    </row>
    <row r="10" customFormat="false" ht="15" hidden="false" customHeight="false" outlineLevel="0" collapsed="false">
      <c r="A10" s="8" t="s">
        <v>14</v>
      </c>
      <c r="B10" s="9" t="n">
        <v>80000</v>
      </c>
      <c r="C10" s="10" t="n">
        <v>2044</v>
      </c>
      <c r="D10" s="8" t="s">
        <v>15</v>
      </c>
    </row>
    <row r="11" customFormat="false" ht="15" hidden="false" customHeight="false" outlineLevel="0" collapsed="false">
      <c r="A11" s="8" t="s">
        <v>16</v>
      </c>
      <c r="B11" s="10"/>
      <c r="C11" s="10"/>
      <c r="D11" s="8" t="s">
        <v>17</v>
      </c>
    </row>
    <row r="12" customFormat="false" ht="15" hidden="false" customHeight="false" outlineLevel="0" collapsed="false">
      <c r="A12" s="8" t="s">
        <v>18</v>
      </c>
      <c r="B12" s="10"/>
      <c r="C12" s="10"/>
      <c r="D12" s="8" t="s">
        <v>19</v>
      </c>
    </row>
    <row r="14" customFormat="false" ht="15" hidden="false" customHeight="false" outlineLevel="0" collapsed="false">
      <c r="A14" s="6" t="s">
        <v>20</v>
      </c>
      <c r="B14" s="6"/>
      <c r="C14" s="6"/>
      <c r="D14" s="6"/>
      <c r="E14" s="6"/>
    </row>
    <row r="15" customFormat="false" ht="15" hidden="false" customHeight="false" outlineLevel="0" collapsed="false">
      <c r="A15" s="4" t="s">
        <v>21</v>
      </c>
      <c r="B15" s="11" t="s">
        <v>22</v>
      </c>
      <c r="C15" s="3" t="s">
        <v>23</v>
      </c>
      <c r="D15" s="3"/>
      <c r="E15" s="3"/>
    </row>
    <row r="16" customFormat="false" ht="23.85" hidden="false" customHeight="false" outlineLevel="0" collapsed="false">
      <c r="A16" s="4" t="s">
        <v>24</v>
      </c>
      <c r="B16" s="11" t="s">
        <v>25</v>
      </c>
      <c r="C16" s="3" t="s">
        <v>26</v>
      </c>
      <c r="D16" s="3"/>
      <c r="E16" s="3"/>
    </row>
    <row r="17" customFormat="false" ht="15" hidden="false" customHeight="false" outlineLevel="0" collapsed="false">
      <c r="A17" s="4" t="s">
        <v>27</v>
      </c>
      <c r="B17" s="12" t="n">
        <v>0.3</v>
      </c>
      <c r="C17" s="3" t="s">
        <v>28</v>
      </c>
      <c r="D17" s="3"/>
      <c r="E17" s="3"/>
    </row>
    <row r="19" customFormat="false" ht="15" hidden="false" customHeight="false" outlineLevel="0" collapsed="false">
      <c r="A19" s="6" t="s">
        <v>29</v>
      </c>
      <c r="B19" s="6"/>
      <c r="C19" s="6"/>
      <c r="D19" s="6"/>
      <c r="E19" s="6"/>
    </row>
    <row r="20" customFormat="false" ht="15" hidden="false" customHeight="false" outlineLevel="0" collapsed="false">
      <c r="A20" s="7" t="s">
        <v>30</v>
      </c>
      <c r="B20" s="7" t="s">
        <v>31</v>
      </c>
      <c r="C20" s="7" t="s">
        <v>32</v>
      </c>
      <c r="D20" s="7" t="s">
        <v>33</v>
      </c>
      <c r="E20" s="7" t="s">
        <v>34</v>
      </c>
    </row>
    <row r="21" customFormat="false" ht="15" hidden="false" customHeight="false" outlineLevel="0" collapsed="false">
      <c r="A21" s="13" t="s">
        <v>35</v>
      </c>
      <c r="B21" s="14" t="n">
        <v>0.6</v>
      </c>
      <c r="C21" s="15" t="n">
        <f aca="false">MIN(0.05,0.25*B21)</f>
        <v>0.05</v>
      </c>
      <c r="D21" s="15" t="n">
        <f aca="false">MAX(0,B21-C21)</f>
        <v>0.55</v>
      </c>
      <c r="E21" s="15" t="n">
        <f aca="false">B21+C21</f>
        <v>0.65</v>
      </c>
    </row>
    <row r="22" customFormat="false" ht="15" hidden="false" customHeight="false" outlineLevel="0" collapsed="false">
      <c r="A22" s="13" t="s">
        <v>36</v>
      </c>
      <c r="B22" s="14" t="n">
        <v>0.3</v>
      </c>
      <c r="C22" s="15" t="n">
        <f aca="false">MIN(0.05,0.25*B22)</f>
        <v>0.05</v>
      </c>
      <c r="D22" s="15" t="n">
        <f aca="false">MAX(0,B22-C22)</f>
        <v>0.25</v>
      </c>
      <c r="E22" s="15" t="n">
        <f aca="false">B22+C22</f>
        <v>0.35</v>
      </c>
    </row>
    <row r="23" customFormat="false" ht="15" hidden="false" customHeight="false" outlineLevel="0" collapsed="false">
      <c r="A23" s="13" t="s">
        <v>37</v>
      </c>
      <c r="B23" s="14" t="n">
        <v>0.1</v>
      </c>
      <c r="C23" s="15" t="n">
        <f aca="false">MIN(0.05,0.25*B23)</f>
        <v>0.025</v>
      </c>
      <c r="D23" s="15" t="n">
        <f aca="false">MAX(0,B23-C23)</f>
        <v>0.075</v>
      </c>
      <c r="E23" s="15" t="n">
        <f aca="false">B23+C23</f>
        <v>0.125</v>
      </c>
    </row>
    <row r="24" customFormat="false" ht="15" hidden="false" customHeight="false" outlineLevel="0" collapsed="false">
      <c r="A24" s="13" t="s">
        <v>38</v>
      </c>
      <c r="B24" s="14" t="n">
        <v>0</v>
      </c>
      <c r="C24" s="15" t="n">
        <f aca="false">MIN(0.05,0.25*B24)</f>
        <v>0</v>
      </c>
      <c r="D24" s="15" t="n">
        <f aca="false">MAX(0,B24-C24)</f>
        <v>0</v>
      </c>
      <c r="E24" s="15" t="n">
        <f aca="false">B24+C24</f>
        <v>0</v>
      </c>
    </row>
    <row r="25" customFormat="false" ht="15" hidden="false" customHeight="false" outlineLevel="0" collapsed="false">
      <c r="A25" s="4" t="s">
        <v>39</v>
      </c>
      <c r="B25" s="16" t="n">
        <f aca="false">SUM(B21:B24)</f>
        <v>1</v>
      </c>
      <c r="C25" s="17" t="str">
        <f aca="false">IF(ABS(B25-1)&lt;0.001,"✓ somma 100%","⚠ deve fare 100% (ora "&amp;TEXT(B25,"0.0%")&amp;")")</f>
        <v>✓ somma 100%</v>
      </c>
      <c r="D25" s="17"/>
      <c r="E25" s="17"/>
    </row>
    <row r="26" customFormat="false" ht="15" hidden="false" customHeight="false" outlineLevel="0" collapsed="false">
      <c r="A26" s="3" t="s">
        <v>40</v>
      </c>
      <c r="B26" s="3"/>
      <c r="C26" s="3"/>
      <c r="D26" s="3"/>
      <c r="E26" s="3"/>
    </row>
    <row r="27" customFormat="false" ht="15" hidden="false" customHeight="false" outlineLevel="0" collapsed="false">
      <c r="A27" s="3"/>
      <c r="B27" s="3"/>
      <c r="C27" s="3"/>
      <c r="D27" s="3"/>
      <c r="E27" s="3"/>
    </row>
    <row r="28" customFormat="false" ht="23.85" hidden="false" customHeight="false" outlineLevel="0" collapsed="false">
      <c r="A28" s="4" t="s">
        <v>41</v>
      </c>
      <c r="B28" s="11" t="s">
        <v>42</v>
      </c>
      <c r="C28" s="3" t="s">
        <v>43</v>
      </c>
      <c r="D28" s="3"/>
      <c r="E28" s="3"/>
    </row>
    <row r="30" customFormat="false" ht="15" hidden="false" customHeight="false" outlineLevel="0" collapsed="false">
      <c r="A30" s="6" t="s">
        <v>44</v>
      </c>
      <c r="B30" s="6"/>
      <c r="C30" s="6"/>
      <c r="D30" s="6"/>
      <c r="E30" s="6"/>
    </row>
    <row r="31" customFormat="false" ht="15" hidden="false" customHeight="false" outlineLevel="0" collapsed="false">
      <c r="A31" s="3" t="s">
        <v>45</v>
      </c>
      <c r="B31" s="3"/>
      <c r="C31" s="3"/>
      <c r="D31" s="3"/>
      <c r="E31" s="3"/>
    </row>
    <row r="32" customFormat="false" ht="15" hidden="false" customHeight="false" outlineLevel="0" collapsed="false">
      <c r="A32" s="18" t="s">
        <v>46</v>
      </c>
      <c r="B32" s="18"/>
      <c r="C32" s="18"/>
      <c r="D32" s="18"/>
      <c r="E32" s="18"/>
    </row>
    <row r="33" customFormat="false" ht="15" hidden="false" customHeight="false" outlineLevel="0" collapsed="false">
      <c r="A33" s="18" t="s">
        <v>47</v>
      </c>
      <c r="B33" s="18"/>
      <c r="C33" s="18"/>
      <c r="D33" s="18"/>
      <c r="E33" s="18"/>
    </row>
    <row r="34" customFormat="false" ht="15" hidden="false" customHeight="false" outlineLevel="0" collapsed="false">
      <c r="A34" s="18" t="s">
        <v>48</v>
      </c>
      <c r="B34" s="18"/>
      <c r="C34" s="18"/>
      <c r="D34" s="18"/>
      <c r="E34" s="18"/>
    </row>
    <row r="35" customFormat="false" ht="15" hidden="false" customHeight="false" outlineLevel="0" collapsed="false">
      <c r="A35" s="18" t="s">
        <v>49</v>
      </c>
      <c r="B35" s="18"/>
      <c r="C35" s="18"/>
      <c r="D35" s="18"/>
      <c r="E35" s="18"/>
    </row>
    <row r="37" customFormat="false" ht="15" hidden="false" customHeight="false" outlineLevel="0" collapsed="false">
      <c r="A37" s="6" t="s">
        <v>50</v>
      </c>
      <c r="B37" s="6"/>
      <c r="C37" s="6"/>
      <c r="D37" s="6"/>
      <c r="E37" s="6"/>
    </row>
    <row r="38" customFormat="false" ht="15" hidden="false" customHeight="false" outlineLevel="0" collapsed="false">
      <c r="A38" s="4" t="s">
        <v>51</v>
      </c>
      <c r="B38" s="19" t="n">
        <v>150</v>
      </c>
      <c r="C38" s="3" t="s">
        <v>52</v>
      </c>
      <c r="D38" s="3"/>
      <c r="E38" s="3"/>
    </row>
    <row r="39" customFormat="false" ht="35.05" hidden="false" customHeight="false" outlineLevel="0" collapsed="false">
      <c r="A39" s="4" t="s">
        <v>53</v>
      </c>
      <c r="B39" s="11" t="s">
        <v>54</v>
      </c>
      <c r="C39" s="3" t="s">
        <v>55</v>
      </c>
      <c r="D39" s="3"/>
      <c r="E39" s="3"/>
    </row>
    <row r="41" customFormat="false" ht="15" hidden="false" customHeight="false" outlineLevel="0" collapsed="false">
      <c r="A41" s="6" t="s">
        <v>56</v>
      </c>
      <c r="B41" s="6"/>
      <c r="C41" s="6"/>
      <c r="D41" s="6"/>
      <c r="E41" s="6"/>
    </row>
    <row r="42" customFormat="false" ht="15" hidden="false" customHeight="false" outlineLevel="0" collapsed="false">
      <c r="A42" s="4" t="s">
        <v>57</v>
      </c>
      <c r="B42" s="12" t="n">
        <v>0.035</v>
      </c>
      <c r="C42" s="3" t="s">
        <v>58</v>
      </c>
      <c r="D42" s="3"/>
      <c r="E42" s="3"/>
    </row>
    <row r="43" customFormat="false" ht="35.05" hidden="false" customHeight="false" outlineLevel="0" collapsed="false">
      <c r="A43" s="4" t="s">
        <v>59</v>
      </c>
      <c r="B43" s="11" t="s">
        <v>60</v>
      </c>
      <c r="C43" s="3" t="s">
        <v>61</v>
      </c>
      <c r="D43" s="3"/>
      <c r="E43" s="3"/>
    </row>
    <row r="45" customFormat="false" ht="15" hidden="false" customHeight="false" outlineLevel="0" collapsed="false">
      <c r="A45" s="6" t="s">
        <v>62</v>
      </c>
      <c r="B45" s="6"/>
      <c r="C45" s="6"/>
      <c r="D45" s="6"/>
      <c r="E45" s="6"/>
    </row>
    <row r="46" customFormat="false" ht="15" hidden="false" customHeight="false" outlineLevel="0" collapsed="false">
      <c r="A46" s="18" t="s">
        <v>63</v>
      </c>
      <c r="B46" s="18"/>
      <c r="C46" s="18"/>
      <c r="D46" s="18"/>
      <c r="E46" s="18"/>
    </row>
    <row r="47" customFormat="false" ht="15" hidden="false" customHeight="false" outlineLevel="0" collapsed="false">
      <c r="A47" s="18" t="s">
        <v>64</v>
      </c>
      <c r="B47" s="18"/>
      <c r="C47" s="18"/>
      <c r="D47" s="18"/>
      <c r="E47" s="18"/>
    </row>
    <row r="48" customFormat="false" ht="15" hidden="false" customHeight="false" outlineLevel="0" collapsed="false">
      <c r="A48" s="18" t="s">
        <v>65</v>
      </c>
      <c r="B48" s="18"/>
      <c r="C48" s="18"/>
      <c r="D48" s="18"/>
      <c r="E48" s="18"/>
    </row>
    <row r="50" customFormat="false" ht="15" hidden="false" customHeight="false" outlineLevel="0" collapsed="false">
      <c r="A50" s="6" t="s">
        <v>66</v>
      </c>
      <c r="B50" s="6"/>
      <c r="C50" s="6"/>
      <c r="D50" s="6"/>
      <c r="E50" s="6"/>
    </row>
    <row r="51" customFormat="false" ht="15" hidden="false" customHeight="false" outlineLevel="0" collapsed="false">
      <c r="A51" s="4" t="s">
        <v>67</v>
      </c>
      <c r="B51" s="11" t="s">
        <v>68</v>
      </c>
      <c r="C51" s="3" t="s">
        <v>69</v>
      </c>
      <c r="D51" s="3"/>
      <c r="E51" s="3"/>
    </row>
    <row r="52" customFormat="false" ht="15" hidden="false" customHeight="false" outlineLevel="0" collapsed="false">
      <c r="A52" s="4" t="s">
        <v>70</v>
      </c>
      <c r="B52" s="11" t="s">
        <v>71</v>
      </c>
      <c r="C52" s="3" t="s">
        <v>72</v>
      </c>
      <c r="D52" s="3"/>
      <c r="E52" s="3"/>
    </row>
    <row r="53" customFormat="false" ht="15" hidden="false" customHeight="false" outlineLevel="0" collapsed="false">
      <c r="A53" s="20" t="s">
        <v>73</v>
      </c>
      <c r="B53" s="20"/>
      <c r="C53" s="20"/>
      <c r="D53" s="20"/>
      <c r="E53" s="20"/>
    </row>
    <row r="54" customFormat="false" ht="15" hidden="false" customHeight="false" outlineLevel="0" collapsed="false">
      <c r="A54" s="20"/>
      <c r="B54" s="20"/>
      <c r="C54" s="20"/>
      <c r="D54" s="20"/>
      <c r="E54" s="20"/>
    </row>
    <row r="56" customFormat="false" ht="15" hidden="false" customHeight="false" outlineLevel="0" collapsed="false">
      <c r="A56" s="3" t="s">
        <v>74</v>
      </c>
      <c r="B56" s="3"/>
      <c r="C56" s="3"/>
      <c r="D56" s="3"/>
      <c r="E56" s="3"/>
    </row>
    <row r="57" customFormat="false" ht="15" hidden="false" customHeight="false" outlineLevel="0" collapsed="false">
      <c r="A57" s="3"/>
      <c r="B57" s="3"/>
      <c r="C57" s="3"/>
      <c r="D57" s="3"/>
      <c r="E57" s="3"/>
    </row>
  </sheetData>
  <mergeCells count="32">
    <mergeCell ref="A1:E1"/>
    <mergeCell ref="A2:E3"/>
    <mergeCell ref="A7:E7"/>
    <mergeCell ref="A14:E14"/>
    <mergeCell ref="C15:E15"/>
    <mergeCell ref="C16:E16"/>
    <mergeCell ref="C17:E17"/>
    <mergeCell ref="A19:E19"/>
    <mergeCell ref="C25:E25"/>
    <mergeCell ref="A26:E27"/>
    <mergeCell ref="C28:E28"/>
    <mergeCell ref="A30:E30"/>
    <mergeCell ref="A31:E31"/>
    <mergeCell ref="A32:E32"/>
    <mergeCell ref="A33:E33"/>
    <mergeCell ref="A34:E34"/>
    <mergeCell ref="A35:E35"/>
    <mergeCell ref="A37:E37"/>
    <mergeCell ref="C38:E38"/>
    <mergeCell ref="C39:E39"/>
    <mergeCell ref="A41:E41"/>
    <mergeCell ref="C42:E42"/>
    <mergeCell ref="C43:E43"/>
    <mergeCell ref="A45:E45"/>
    <mergeCell ref="A46:E46"/>
    <mergeCell ref="A47:E47"/>
    <mergeCell ref="A48:E48"/>
    <mergeCell ref="A50:E50"/>
    <mergeCell ref="C51:E51"/>
    <mergeCell ref="C52:E52"/>
    <mergeCell ref="A53:E54"/>
    <mergeCell ref="A56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2026-06-26T08:10:35Z</dcterms:created>
  <dc:creator>openpyxl</dc:creator>
  <dc:description/>
  <dc:language>en-US</dc:language>
  <cp:lastModifiedBy/>
  <dcterms:modified xsi:type="dcterms:W3CDTF">2026-06-26T08:10:35Z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