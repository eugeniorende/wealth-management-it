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Impostazioni" sheetId="2" state="visible" r:id="rId4"/>
    <sheet name="Glide" sheetId="3" state="visible" r:id="rId5"/>
    <sheet name="Posizioni" sheetId="4" state="visible" r:id="rId6"/>
    <sheet name="Controllo" sheetId="5" state="visible" r:id="rId7"/>
    <sheet name="Versament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<sst xmlns="http://schemas.openxmlformats.org/spreadsheetml/2006/main" count="88" uniqueCount="64">
  <si>
    <t xml:space="preserve">TRACKER DEI SECCHIELLI — monitoraggio del piano goals-based</t>
  </si>
  <si>
    <t xml:space="preserve">Come si usa:</t>
  </si>
  <si>
    <t xml:space="preserve">1. IMPOSTAZIONI: definisci i secchielli (nome, capitale target) e l'ANNO DEL PIANO (0 = partenza).</t>
  </si>
  <si>
    <t xml:space="preserve">2. GLIDE: il calendario del target % azioni per secchiello e per anno (incollalo da glidepath-obiettivi.py).</t>
  </si>
  <si>
    <t xml:space="preserve">   Il target 'di oggi' in Impostazioni si aggiorna da solo quando cambi l'anno del piano.</t>
  </si>
  <si>
    <t xml:space="preserve">3. POSIZIONI: elenca gli strumenti, assegnali a un secchiello (tendina) e a una classe, aggiorna i prezzi.</t>
  </si>
  <si>
    <t xml:space="preserve">4. CONTROLLO: allocazione effettiva vs target per secchiello e aggregata, con semaforo sulle bande 5/25</t>
  </si>
  <si>
    <t xml:space="preserve">   (si interviene se la deviazione supera 5 punti assoluti O il 25% relativo del target — vale la minore).</t>
  </si>
  <si>
    <t xml:space="preserve">5. VERSAMENTI: registro dei conferimenti, con totali per secchiello e per l'anno in corso.</t>
  </si>
  <si>
    <t xml:space="preserve">Convenzioni: celle BLU = input da modificare; celle nere = formule (non toccare); verdi = collegamenti.</t>
  </si>
  <si>
    <t xml:space="preserve">Cadenza consigliata: prezzi e controllo ogni trimestre; anno del piano e Glide alla revisione annuale.</t>
  </si>
  <si>
    <t xml:space="preserve">I dati precompilati sono un ESEMPIO da sostituire con i tuoi.</t>
  </si>
  <si>
    <t xml:space="preserve">Strumento educativo: non costituisce consulenza finanziaria.</t>
  </si>
  <si>
    <t xml:space="preserve">Limiti: 6 secchielli (Impostazioni, righe 6-11), 30 posizioni (Posizioni, righe 4-33), 60 versamenti (Versamenti, righe 4-63), 31 anni di Glide (righe 3-33). Per andare oltre inserisci righe DENTRO gli intervalli: formule e SUMIFS si allargano da sole. Le bande della riga aggregata seguono la stessa regola 5/25.</t>
  </si>
  <si>
    <t xml:space="preserve">IMPOSTAZIONI DEL PIANO</t>
  </si>
  <si>
    <t xml:space="preserve">Anno del piano (0 = partenza):</t>
  </si>
  <si>
    <t xml:space="preserve">Secchiello</t>
  </si>
  <si>
    <t xml:space="preserve">Tipo</t>
  </si>
  <si>
    <t xml:space="preserve">Capitale target</t>
  </si>
  <si>
    <t xml:space="preserve">Target % azioni (anno corrente)</t>
  </si>
  <si>
    <t xml:space="preserve">Fondo emergenza</t>
  </si>
  <si>
    <t xml:space="preserve">permanente</t>
  </si>
  <si>
    <t xml:space="preserve">Casa</t>
  </si>
  <si>
    <t xml:space="preserve">terminante</t>
  </si>
  <si>
    <t xml:space="preserve">Lungo termine</t>
  </si>
  <si>
    <t xml:space="preserve">Bande di ribilanciamento</t>
  </si>
  <si>
    <t xml:space="preserve">Banda assoluta (punti)</t>
  </si>
  <si>
    <t xml:space="preserve">Banda relativa (% del target)</t>
  </si>
  <si>
    <t xml:space="preserve">GLIDE PATH — target % azioni per secchiello e anno del piano</t>
  </si>
  <si>
    <t xml:space="preserve">Anno</t>
  </si>
  <si>
    <t xml:space="preserve">POSIZIONI — assegna ogni strumento a un secchiello e a una classe</t>
  </si>
  <si>
    <t xml:space="preserve">Strumento</t>
  </si>
  <si>
    <t xml:space="preserve">Classe</t>
  </si>
  <si>
    <t xml:space="preserve">Quantità</t>
  </si>
  <si>
    <t xml:space="preserve">Prezzo</t>
  </si>
  <si>
    <t xml:space="preserve">Controvalore</t>
  </si>
  <si>
    <t xml:space="preserve">Peso</t>
  </si>
  <si>
    <t xml:space="preserve">Conto deposito remunerato</t>
  </si>
  <si>
    <t xml:space="preserve">Liquidità</t>
  </si>
  <si>
    <t xml:space="preserve">ETF Azionario Globale</t>
  </si>
  <si>
    <t xml:space="preserve">Azioni</t>
  </si>
  <si>
    <t xml:space="preserve">ETF Obbligaz. Global Agg EUR-H</t>
  </si>
  <si>
    <t xml:space="preserve">Obbligazioni</t>
  </si>
  <si>
    <t xml:space="preserve">ETF Monetario EUR</t>
  </si>
  <si>
    <t xml:space="preserve">TOTALE</t>
  </si>
  <si>
    <t xml:space="preserve">CONTROLLO — effettivo vs target, semaforo bande 5/25</t>
  </si>
  <si>
    <t xml:space="preserve">Per secchiello</t>
  </si>
  <si>
    <t xml:space="preserve">Capitale eff.</t>
  </si>
  <si>
    <t xml:space="preserve">% azioni eff.</t>
  </si>
  <si>
    <t xml:space="preserve">Target %</t>
  </si>
  <si>
    <t xml:space="preserve">Deviazione</t>
  </si>
  <si>
    <t xml:space="preserve">Soglia banda</t>
  </si>
  <si>
    <t xml:space="preserve">Stato</t>
  </si>
  <si>
    <t xml:space="preserve">Aggregato (3 classi)</t>
  </si>
  <si>
    <t xml:space="preserve">Effettivo</t>
  </si>
  <si>
    <t xml:space="preserve">% eff.</t>
  </si>
  <si>
    <t xml:space="preserve">Nota: il target aggregato % azioni pesa i target dei secchielli per il loro capitale effettivo.</t>
  </si>
  <si>
    <t xml:space="preserve">VERSAMENTI — registro dei conferimenti</t>
  </si>
  <si>
    <t xml:space="preserve">Data</t>
  </si>
  <si>
    <t xml:space="preserve">Importo</t>
  </si>
  <si>
    <t xml:space="preserve">Nota</t>
  </si>
  <si>
    <t xml:space="preserve">Versato totale</t>
  </si>
  <si>
    <t xml:space="preserve">Versato anno corrente</t>
  </si>
  <si>
    <t xml:space="preserve">PAC mensile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</si>
</sst>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"/>
    <numFmt numFmtId="166" formatCode="0.0%"/>
    <numFmt numFmtId="167" formatCode="0%"/>
    <numFmt numFmtId="168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</row>
    <row r="8" customFormat="false" ht="15" hidden="false" customHeight="false" outlineLevel="0" collapsed="false">
      <c r="A8" s="1" t="s">
        <v>6</v>
      </c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1" t="s">
        <v>8</v>
      </c>
    </row>
    <row r="12" customFormat="false" ht="15" hidden="false" customHeight="false" outlineLevel="0" collapsed="false">
      <c r="A12" s="1" t="s">
        <v>9</v>
      </c>
    </row>
    <row r="13" customFormat="false" ht="15" hidden="false" customHeight="false" outlineLevel="0" collapsed="false">
      <c r="A13" s="1" t="s">
        <v>10</v>
      </c>
    </row>
    <row r="14" customFormat="false" ht="15" hidden="false" customHeight="false" outlineLevel="0" collapsed="false">
      <c r="A14" s="1" t="s">
        <v>11</v>
      </c>
    </row>
    <row r="15" customFormat="false" ht="15" hidden="false" customHeight="false" outlineLevel="0" collapsed="false">
      <c r="A15" s="1" t="s">
        <v>12</v>
      </c>
    </row>
    <row r="17" customFormat="false" ht="15" hidden="false" customHeight="false" outlineLevel="0" collapsed="false">
      <c r="A17" s="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0"/>
  </cols>
  <sheetData>
    <row r="1" customFormat="false" ht="16.15" hidden="false" customHeight="false" outlineLevel="0" collapsed="false">
      <c r="A1" s="2" t="s">
        <v>14</v>
      </c>
    </row>
    <row r="2" customFormat="false" ht="15" hidden="false" customHeight="false" outlineLevel="0" collapsed="false">
      <c r="A2" s="3" t="s">
        <v>15</v>
      </c>
      <c r="B2" s="4" t="n">
        <v>0</v>
      </c>
    </row>
    <row r="5" customFormat="false" ht="15" hidden="false" customHeight="false" outlineLevel="0" collapsed="false">
      <c r="A5" s="5" t="s">
        <v>16</v>
      </c>
      <c r="B5" s="5" t="s">
        <v>17</v>
      </c>
      <c r="C5" s="5" t="s">
        <v>18</v>
      </c>
      <c r="D5" s="5" t="s">
        <v>19</v>
      </c>
    </row>
    <row r="6" customFormat="false" ht="15" hidden="false" customHeight="false" outlineLevel="0" collapsed="false">
      <c r="A6" s="6" t="s">
        <v>20</v>
      </c>
      <c r="B6" s="6" t="s">
        <v>21</v>
      </c>
      <c r="C6" s="7" t="n">
        <v>12000</v>
      </c>
      <c r="D6" s="8" t="n">
        <f aca="false">IF($A6="","",IFERROR(INDEX(Glide!B$3:B$33,$B$2+1),0))</f>
        <v>0</v>
      </c>
    </row>
    <row r="7" customFormat="false" ht="15" hidden="false" customHeight="false" outlineLevel="0" collapsed="false">
      <c r="A7" s="6" t="s">
        <v>22</v>
      </c>
      <c r="B7" s="6" t="s">
        <v>23</v>
      </c>
      <c r="C7" s="7" t="n">
        <v>45000</v>
      </c>
      <c r="D7" s="8" t="n">
        <f aca="false">IF($A7="","",IFERROR(INDEX(Glide!C$3:C$33,$B$2+1),0))</f>
        <v>0.4</v>
      </c>
    </row>
    <row r="8" customFormat="false" ht="15" hidden="false" customHeight="false" outlineLevel="0" collapsed="false">
      <c r="A8" s="6" t="s">
        <v>24</v>
      </c>
      <c r="B8" s="6" t="s">
        <v>21</v>
      </c>
      <c r="C8" s="7" t="n">
        <v>43000</v>
      </c>
      <c r="D8" s="8" t="n">
        <f aca="false">IF($A8="","",IFERROR(INDEX(Glide!D$3:D$33,$B$2+1),0))</f>
        <v>0.9</v>
      </c>
    </row>
    <row r="9" customFormat="false" ht="15" hidden="false" customHeight="false" outlineLevel="0" collapsed="false">
      <c r="D9" s="8" t="str">
        <f aca="false">IF($A9="","",IFERROR(INDEX(Glide!E$3:E$33,$B$2+1),0))</f>
        <v/>
      </c>
    </row>
    <row r="10" customFormat="false" ht="15" hidden="false" customHeight="false" outlineLevel="0" collapsed="false">
      <c r="D10" s="8" t="str">
        <f aca="false">IF($A10="","",IFERROR(INDEX(Glide!F$3:F$33,$B$2+1),0))</f>
        <v/>
      </c>
    </row>
    <row r="11" customFormat="false" ht="15" hidden="false" customHeight="false" outlineLevel="0" collapsed="false">
      <c r="D11" s="8" t="str">
        <f aca="false">IF($A11="","",IFERROR(INDEX(Glide!G$3:G$33,$B$2+1),0))</f>
        <v/>
      </c>
    </row>
    <row r="13" customFormat="false" ht="15" hidden="false" customHeight="false" outlineLevel="0" collapsed="false">
      <c r="A13" s="3" t="s">
        <v>25</v>
      </c>
    </row>
    <row r="14" customFormat="false" ht="15" hidden="false" customHeight="false" outlineLevel="0" collapsed="false">
      <c r="A14" s="1" t="s">
        <v>26</v>
      </c>
      <c r="B14" s="9" t="n">
        <v>0.05</v>
      </c>
    </row>
    <row r="15" customFormat="false" ht="15" hidden="false" customHeight="false" outlineLevel="0" collapsed="false">
      <c r="A15" s="1" t="s">
        <v>27</v>
      </c>
      <c r="B15" s="1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7" min="2" style="1" width="17"/>
  </cols>
  <sheetData>
    <row r="1" customFormat="false" ht="16.15" hidden="false" customHeight="false" outlineLevel="0" collapsed="false">
      <c r="A1" s="2" t="s">
        <v>28</v>
      </c>
    </row>
    <row r="2" customFormat="false" ht="15" hidden="false" customHeight="false" outlineLevel="0" collapsed="false">
      <c r="A2" s="11" t="s">
        <v>29</v>
      </c>
      <c r="B2" s="12" t="str">
        <f aca="false">IF(Impostazioni!A6="","",Impostazioni!A6)</f>
        <v>Fondo emergenza</v>
      </c>
      <c r="C2" s="12" t="str">
        <f aca="false">IF(Impostazioni!A7="","",Impostazioni!A7)</f>
        <v>Casa</v>
      </c>
      <c r="D2" s="12" t="str">
        <f aca="false">IF(Impostazioni!A8="","",Impostazioni!A8)</f>
        <v>Lungo termine</v>
      </c>
      <c r="E2" s="12" t="str">
        <f aca="false">IF(Impostazioni!A9="","",Impostazioni!A9)</f>
        <v/>
      </c>
      <c r="F2" s="12" t="str">
        <f aca="false">IF(Impostazioni!A10="","",Impostazioni!A10)</f>
        <v/>
      </c>
      <c r="G2" s="12" t="str">
        <f aca="false">IF(Impostazioni!A11="","",Impostazioni!A11)</f>
        <v/>
      </c>
    </row>
    <row r="3" customFormat="false" ht="15" hidden="false" customHeight="false" outlineLevel="0" collapsed="false">
      <c r="A3" s="1" t="n">
        <v>0</v>
      </c>
      <c r="B3" s="9" t="n">
        <v>0</v>
      </c>
      <c r="C3" s="9" t="n">
        <v>0.4</v>
      </c>
      <c r="D3" s="9" t="n">
        <v>0.9</v>
      </c>
    </row>
    <row r="4" customFormat="false" ht="15" hidden="false" customHeight="false" outlineLevel="0" collapsed="false">
      <c r="A4" s="1" t="n">
        <v>1</v>
      </c>
      <c r="B4" s="9" t="n">
        <v>0</v>
      </c>
      <c r="C4" s="9" t="n">
        <v>0.4</v>
      </c>
      <c r="D4" s="9" t="n">
        <v>0.9</v>
      </c>
    </row>
    <row r="5" customFormat="false" ht="15" hidden="false" customHeight="false" outlineLevel="0" collapsed="false">
      <c r="A5" s="1" t="n">
        <v>2</v>
      </c>
      <c r="B5" s="9" t="n">
        <v>0</v>
      </c>
      <c r="C5" s="9" t="n">
        <v>0.4</v>
      </c>
      <c r="D5" s="9" t="n">
        <v>0.9</v>
      </c>
    </row>
    <row r="6" customFormat="false" ht="15" hidden="false" customHeight="false" outlineLevel="0" collapsed="false">
      <c r="A6" s="1" t="n">
        <v>3</v>
      </c>
      <c r="B6" s="9" t="n">
        <v>0</v>
      </c>
      <c r="C6" s="9" t="n">
        <v>0.4</v>
      </c>
      <c r="D6" s="9" t="n">
        <v>0.9</v>
      </c>
    </row>
    <row r="7" customFormat="false" ht="15" hidden="false" customHeight="false" outlineLevel="0" collapsed="false">
      <c r="A7" s="1" t="n">
        <v>4</v>
      </c>
      <c r="B7" s="9" t="n">
        <v>0</v>
      </c>
      <c r="C7" s="9" t="n">
        <v>0.343</v>
      </c>
      <c r="D7" s="9" t="n">
        <v>0.9</v>
      </c>
    </row>
    <row r="8" customFormat="false" ht="15" hidden="false" customHeight="false" outlineLevel="0" collapsed="false">
      <c r="A8" s="1" t="n">
        <v>5</v>
      </c>
      <c r="B8" s="9" t="n">
        <v>0</v>
      </c>
      <c r="C8" s="9" t="n">
        <v>0.286</v>
      </c>
      <c r="D8" s="9" t="n">
        <v>0.9</v>
      </c>
    </row>
    <row r="9" customFormat="false" ht="15" hidden="false" customHeight="false" outlineLevel="0" collapsed="false">
      <c r="A9" s="1" t="n">
        <v>6</v>
      </c>
      <c r="B9" s="9" t="n">
        <v>0</v>
      </c>
      <c r="C9" s="9" t="n">
        <v>0.229</v>
      </c>
      <c r="D9" s="9" t="n">
        <v>0.9</v>
      </c>
    </row>
    <row r="10" customFormat="false" ht="15" hidden="false" customHeight="false" outlineLevel="0" collapsed="false">
      <c r="A10" s="1" t="n">
        <v>7</v>
      </c>
      <c r="B10" s="9" t="n">
        <v>0</v>
      </c>
      <c r="C10" s="9" t="n">
        <v>0.171</v>
      </c>
      <c r="D10" s="9" t="n">
        <v>0.9</v>
      </c>
    </row>
    <row r="11" customFormat="false" ht="15" hidden="false" customHeight="false" outlineLevel="0" collapsed="false">
      <c r="A11" s="1" t="n">
        <v>8</v>
      </c>
      <c r="B11" s="9" t="n">
        <v>0</v>
      </c>
      <c r="C11" s="9" t="n">
        <v>0.114</v>
      </c>
      <c r="D11" s="9" t="n">
        <v>0.9</v>
      </c>
    </row>
    <row r="12" customFormat="false" ht="15" hidden="false" customHeight="false" outlineLevel="0" collapsed="false">
      <c r="A12" s="1" t="n">
        <v>9</v>
      </c>
      <c r="B12" s="9" t="n">
        <v>0</v>
      </c>
      <c r="C12" s="9" t="n">
        <v>0.057</v>
      </c>
      <c r="D12" s="9" t="n">
        <v>0.9</v>
      </c>
    </row>
    <row r="13" customFormat="false" ht="15" hidden="false" customHeight="false" outlineLevel="0" collapsed="false">
      <c r="A13" s="1" t="n">
        <v>10</v>
      </c>
      <c r="B13" s="9" t="n">
        <v>0</v>
      </c>
      <c r="C13" s="9" t="n">
        <v>0</v>
      </c>
      <c r="D13" s="9" t="n">
        <v>0.9</v>
      </c>
    </row>
    <row r="14" customFormat="false" ht="15" hidden="false" customHeight="false" outlineLevel="0" collapsed="false">
      <c r="A14" s="1" t="n">
        <v>11</v>
      </c>
      <c r="B14" s="9" t="n">
        <v>0</v>
      </c>
      <c r="C14" s="9" t="n">
        <v>0</v>
      </c>
      <c r="D14" s="9" t="n">
        <v>0.9</v>
      </c>
    </row>
    <row r="15" customFormat="false" ht="15" hidden="false" customHeight="false" outlineLevel="0" collapsed="false">
      <c r="A15" s="1" t="n">
        <v>12</v>
      </c>
      <c r="B15" s="9" t="n">
        <v>0</v>
      </c>
      <c r="C15" s="9" t="n">
        <v>0</v>
      </c>
      <c r="D15" s="9" t="n">
        <v>0.9</v>
      </c>
    </row>
    <row r="16" customFormat="false" ht="15" hidden="false" customHeight="false" outlineLevel="0" collapsed="false">
      <c r="A16" s="1" t="n">
        <v>13</v>
      </c>
      <c r="B16" s="9" t="n">
        <v>0</v>
      </c>
      <c r="C16" s="9" t="n">
        <v>0</v>
      </c>
      <c r="D16" s="9" t="n">
        <v>0.9</v>
      </c>
    </row>
    <row r="17" customFormat="false" ht="15" hidden="false" customHeight="false" outlineLevel="0" collapsed="false">
      <c r="A17" s="1" t="n">
        <v>14</v>
      </c>
      <c r="B17" s="9" t="n">
        <v>0</v>
      </c>
      <c r="C17" s="9" t="n">
        <v>0</v>
      </c>
      <c r="D17" s="9" t="n">
        <v>0.9</v>
      </c>
    </row>
    <row r="18" customFormat="false" ht="15" hidden="false" customHeight="false" outlineLevel="0" collapsed="false">
      <c r="A18" s="1" t="n">
        <v>15</v>
      </c>
      <c r="B18" s="9" t="n">
        <v>0</v>
      </c>
      <c r="C18" s="9" t="n">
        <v>0</v>
      </c>
      <c r="D18" s="9" t="n">
        <v>0.9</v>
      </c>
    </row>
    <row r="19" customFormat="false" ht="15" hidden="false" customHeight="false" outlineLevel="0" collapsed="false">
      <c r="A19" s="1" t="n">
        <v>16</v>
      </c>
      <c r="B19" s="9" t="n">
        <v>0</v>
      </c>
      <c r="C19" s="9" t="n">
        <v>0</v>
      </c>
      <c r="D19" s="9" t="n">
        <v>0.9</v>
      </c>
    </row>
    <row r="20" customFormat="false" ht="15" hidden="false" customHeight="false" outlineLevel="0" collapsed="false">
      <c r="A20" s="1" t="n">
        <v>17</v>
      </c>
      <c r="B20" s="9" t="n">
        <v>0</v>
      </c>
      <c r="C20" s="9" t="n">
        <v>0</v>
      </c>
      <c r="D20" s="9" t="n">
        <v>0.9</v>
      </c>
    </row>
    <row r="21" customFormat="false" ht="15" hidden="false" customHeight="false" outlineLevel="0" collapsed="false">
      <c r="A21" s="1" t="n">
        <v>18</v>
      </c>
      <c r="B21" s="9" t="n">
        <v>0</v>
      </c>
      <c r="C21" s="9" t="n">
        <v>0</v>
      </c>
      <c r="D21" s="9" t="n">
        <v>0.9</v>
      </c>
    </row>
    <row r="22" customFormat="false" ht="15" hidden="false" customHeight="false" outlineLevel="0" collapsed="false">
      <c r="A22" s="1" t="n">
        <v>19</v>
      </c>
      <c r="B22" s="9" t="n">
        <v>0</v>
      </c>
      <c r="C22" s="9" t="n">
        <v>0</v>
      </c>
      <c r="D22" s="9" t="n">
        <v>0.9</v>
      </c>
    </row>
    <row r="23" customFormat="false" ht="15" hidden="false" customHeight="false" outlineLevel="0" collapsed="false">
      <c r="A23" s="1" t="n">
        <v>20</v>
      </c>
      <c r="B23" s="9" t="n">
        <v>0</v>
      </c>
      <c r="C23" s="9" t="n">
        <v>0</v>
      </c>
      <c r="D23" s="9" t="n">
        <v>0.9</v>
      </c>
    </row>
    <row r="24" customFormat="false" ht="15" hidden="false" customHeight="false" outlineLevel="0" collapsed="false">
      <c r="A24" s="1" t="n">
        <v>21</v>
      </c>
      <c r="B24" s="9" t="n">
        <v>0</v>
      </c>
      <c r="C24" s="9" t="n">
        <v>0</v>
      </c>
      <c r="D24" s="9" t="n">
        <v>0.9</v>
      </c>
    </row>
    <row r="25" customFormat="false" ht="15" hidden="false" customHeight="false" outlineLevel="0" collapsed="false">
      <c r="A25" s="1" t="n">
        <v>22</v>
      </c>
      <c r="B25" s="9" t="n">
        <v>0</v>
      </c>
      <c r="C25" s="9" t="n">
        <v>0</v>
      </c>
      <c r="D25" s="9" t="n">
        <v>0.9</v>
      </c>
    </row>
    <row r="26" customFormat="false" ht="15" hidden="false" customHeight="false" outlineLevel="0" collapsed="false">
      <c r="A26" s="1" t="n">
        <v>23</v>
      </c>
      <c r="B26" s="9" t="n">
        <v>0</v>
      </c>
      <c r="C26" s="9" t="n">
        <v>0</v>
      </c>
      <c r="D26" s="9" t="n">
        <v>0.9</v>
      </c>
    </row>
    <row r="27" customFormat="false" ht="15" hidden="false" customHeight="false" outlineLevel="0" collapsed="false">
      <c r="A27" s="1" t="n">
        <v>24</v>
      </c>
      <c r="B27" s="9" t="n">
        <v>0</v>
      </c>
      <c r="C27" s="9" t="n">
        <v>0</v>
      </c>
      <c r="D27" s="9" t="n">
        <v>0.9</v>
      </c>
    </row>
    <row r="28" customFormat="false" ht="15" hidden="false" customHeight="false" outlineLevel="0" collapsed="false">
      <c r="A28" s="1" t="n">
        <v>25</v>
      </c>
      <c r="B28" s="9" t="n">
        <v>0</v>
      </c>
      <c r="C28" s="9" t="n">
        <v>0</v>
      </c>
      <c r="D28" s="9" t="n">
        <v>0.9</v>
      </c>
    </row>
    <row r="29" customFormat="false" ht="15" hidden="false" customHeight="false" outlineLevel="0" collapsed="false">
      <c r="A29" s="1" t="n">
        <v>26</v>
      </c>
      <c r="B29" s="9" t="n">
        <v>0</v>
      </c>
      <c r="C29" s="9" t="n">
        <v>0</v>
      </c>
      <c r="D29" s="9" t="n">
        <v>0.9</v>
      </c>
    </row>
    <row r="30" customFormat="false" ht="15" hidden="false" customHeight="false" outlineLevel="0" collapsed="false">
      <c r="A30" s="1" t="n">
        <v>27</v>
      </c>
      <c r="B30" s="9" t="n">
        <v>0</v>
      </c>
      <c r="C30" s="9" t="n">
        <v>0</v>
      </c>
      <c r="D30" s="9" t="n">
        <v>0.9</v>
      </c>
    </row>
    <row r="31" customFormat="false" ht="15" hidden="false" customHeight="false" outlineLevel="0" collapsed="false">
      <c r="A31" s="1" t="n">
        <v>28</v>
      </c>
      <c r="B31" s="9" t="n">
        <v>0</v>
      </c>
      <c r="C31" s="9" t="n">
        <v>0</v>
      </c>
      <c r="D31" s="9" t="n">
        <v>0.9</v>
      </c>
    </row>
    <row r="32" customFormat="false" ht="15" hidden="false" customHeight="false" outlineLevel="0" collapsed="false">
      <c r="A32" s="1" t="n">
        <v>29</v>
      </c>
      <c r="B32" s="9" t="n">
        <v>0</v>
      </c>
      <c r="C32" s="9" t="n">
        <v>0</v>
      </c>
      <c r="D32" s="9" t="n">
        <v>0.9</v>
      </c>
    </row>
    <row r="33" customFormat="false" ht="15" hidden="false" customHeight="false" outlineLevel="0" collapsed="false">
      <c r="A33" s="1" t="n">
        <v>30</v>
      </c>
      <c r="B33" s="9" t="n">
        <v>0</v>
      </c>
      <c r="C33" s="9" t="n">
        <v>0</v>
      </c>
      <c r="D33" s="9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9"/>
  </cols>
  <sheetData>
    <row r="1" customFormat="false" ht="16.15" hidden="false" customHeight="false" outlineLevel="0" collapsed="false">
      <c r="A1" s="2" t="s">
        <v>30</v>
      </c>
    </row>
    <row r="3" customFormat="false" ht="15" hidden="false" customHeight="false" outlineLevel="0" collapsed="false">
      <c r="A3" s="5" t="s">
        <v>31</v>
      </c>
      <c r="B3" s="5" t="s">
        <v>16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</row>
    <row r="4" customFormat="false" ht="15" hidden="false" customHeight="false" outlineLevel="0" collapsed="false">
      <c r="A4" s="6" t="s">
        <v>37</v>
      </c>
      <c r="B4" s="6" t="s">
        <v>20</v>
      </c>
      <c r="C4" s="6" t="s">
        <v>38</v>
      </c>
      <c r="D4" s="6" t="n">
        <v>1</v>
      </c>
      <c r="E4" s="7" t="n">
        <v>12000</v>
      </c>
      <c r="F4" s="13" t="n">
        <f aca="false">IF(OR($D4="",$E4=""),"",$D4*$E4)</f>
        <v>12000</v>
      </c>
      <c r="G4" s="8" t="n">
        <f aca="false">IF($F4="","",$F4/$F$34)</f>
        <v>0.119619609641341</v>
      </c>
    </row>
    <row r="5" customFormat="false" ht="15" hidden="false" customHeight="false" outlineLevel="0" collapsed="false">
      <c r="A5" s="6" t="s">
        <v>39</v>
      </c>
      <c r="B5" s="6" t="s">
        <v>22</v>
      </c>
      <c r="C5" s="6" t="s">
        <v>40</v>
      </c>
      <c r="D5" s="6" t="n">
        <v>200</v>
      </c>
      <c r="E5" s="7" t="n">
        <v>92</v>
      </c>
      <c r="F5" s="13" t="n">
        <f aca="false">IF(OR($D5="",$E5=""),"",$D5*$E5)</f>
        <v>18400</v>
      </c>
      <c r="G5" s="8" t="n">
        <f aca="false">IF($F5="","",$F5/$F$34)</f>
        <v>0.183416734783389</v>
      </c>
    </row>
    <row r="6" customFormat="false" ht="15" hidden="false" customHeight="false" outlineLevel="0" collapsed="false">
      <c r="A6" s="6" t="s">
        <v>41</v>
      </c>
      <c r="B6" s="6" t="s">
        <v>22</v>
      </c>
      <c r="C6" s="6" t="s">
        <v>42</v>
      </c>
      <c r="D6" s="6" t="n">
        <v>250</v>
      </c>
      <c r="E6" s="7" t="n">
        <v>105</v>
      </c>
      <c r="F6" s="13" t="n">
        <f aca="false">IF(OR($D6="",$E6=""),"",$D6*$E6)</f>
        <v>26250</v>
      </c>
      <c r="G6" s="8" t="n">
        <f aca="false">IF($F6="","",$F6/$F$34)</f>
        <v>0.261667896090432</v>
      </c>
    </row>
    <row r="7" customFormat="false" ht="15" hidden="false" customHeight="false" outlineLevel="0" collapsed="false">
      <c r="A7" s="6" t="s">
        <v>39</v>
      </c>
      <c r="B7" s="6" t="s">
        <v>24</v>
      </c>
      <c r="C7" s="6" t="s">
        <v>40</v>
      </c>
      <c r="D7" s="6" t="n">
        <v>400</v>
      </c>
      <c r="E7" s="7" t="n">
        <v>92</v>
      </c>
      <c r="F7" s="13" t="n">
        <f aca="false">IF(OR($D7="",$E7=""),"",$D7*$E7)</f>
        <v>36800</v>
      </c>
      <c r="G7" s="8" t="n">
        <f aca="false">IF($F7="","",$F7/$F$34)</f>
        <v>0.366833469566778</v>
      </c>
    </row>
    <row r="8" customFormat="false" ht="15" hidden="false" customHeight="false" outlineLevel="0" collapsed="false">
      <c r="A8" s="6" t="s">
        <v>43</v>
      </c>
      <c r="B8" s="6" t="s">
        <v>24</v>
      </c>
      <c r="C8" s="6" t="s">
        <v>38</v>
      </c>
      <c r="D8" s="6" t="n">
        <v>68</v>
      </c>
      <c r="E8" s="7" t="n">
        <v>101</v>
      </c>
      <c r="F8" s="13" t="n">
        <f aca="false">IF(OR($D8="",$E8=""),"",$D8*$E8)</f>
        <v>6868</v>
      </c>
      <c r="G8" s="8" t="n">
        <f aca="false">IF($F8="","",$F8/$F$34)</f>
        <v>0.0684622899180606</v>
      </c>
    </row>
    <row r="9" customFormat="false" ht="15" hidden="false" customHeight="false" outlineLevel="0" collapsed="false">
      <c r="F9" s="13" t="str">
        <f aca="false">IF(OR($D9="",$E9=""),"",$D9*$E9)</f>
        <v/>
      </c>
      <c r="G9" s="8" t="str">
        <f aca="false">IF($F9="","",$F9/$F$34)</f>
        <v/>
      </c>
    </row>
    <row r="10" customFormat="false" ht="15" hidden="false" customHeight="false" outlineLevel="0" collapsed="false">
      <c r="F10" s="13" t="str">
        <f aca="false">IF(OR($D10="",$E10=""),"",$D10*$E10)</f>
        <v/>
      </c>
      <c r="G10" s="8" t="str">
        <f aca="false">IF($F10="","",$F10/$F$34)</f>
        <v/>
      </c>
    </row>
    <row r="11" customFormat="false" ht="15" hidden="false" customHeight="false" outlineLevel="0" collapsed="false">
      <c r="F11" s="13" t="str">
        <f aca="false">IF(OR($D11="",$E11=""),"",$D11*$E11)</f>
        <v/>
      </c>
      <c r="G11" s="8" t="str">
        <f aca="false">IF($F11="","",$F11/$F$34)</f>
        <v/>
      </c>
    </row>
    <row r="12" customFormat="false" ht="15" hidden="false" customHeight="false" outlineLevel="0" collapsed="false">
      <c r="F12" s="13" t="str">
        <f aca="false">IF(OR($D12="",$E12=""),"",$D12*$E12)</f>
        <v/>
      </c>
      <c r="G12" s="8" t="str">
        <f aca="false">IF($F12="","",$F12/$F$34)</f>
        <v/>
      </c>
    </row>
    <row r="13" customFormat="false" ht="15" hidden="false" customHeight="false" outlineLevel="0" collapsed="false">
      <c r="F13" s="13" t="str">
        <f aca="false">IF(OR($D13="",$E13=""),"",$D13*$E13)</f>
        <v/>
      </c>
      <c r="G13" s="8" t="str">
        <f aca="false">IF($F13="","",$F13/$F$34)</f>
        <v/>
      </c>
    </row>
    <row r="14" customFormat="false" ht="15" hidden="false" customHeight="false" outlineLevel="0" collapsed="false">
      <c r="F14" s="13" t="str">
        <f aca="false">IF(OR($D14="",$E14=""),"",$D14*$E14)</f>
        <v/>
      </c>
      <c r="G14" s="8" t="str">
        <f aca="false">IF($F14="","",$F14/$F$34)</f>
        <v/>
      </c>
    </row>
    <row r="15" customFormat="false" ht="15" hidden="false" customHeight="false" outlineLevel="0" collapsed="false">
      <c r="F15" s="13" t="str">
        <f aca="false">IF(OR($D15="",$E15=""),"",$D15*$E15)</f>
        <v/>
      </c>
      <c r="G15" s="8" t="str">
        <f aca="false">IF($F15="","",$F15/$F$34)</f>
        <v/>
      </c>
    </row>
    <row r="16" customFormat="false" ht="15" hidden="false" customHeight="false" outlineLevel="0" collapsed="false">
      <c r="F16" s="13" t="str">
        <f aca="false">IF(OR($D16="",$E16=""),"",$D16*$E16)</f>
        <v/>
      </c>
      <c r="G16" s="8" t="str">
        <f aca="false">IF($F16="","",$F16/$F$34)</f>
        <v/>
      </c>
    </row>
    <row r="17" customFormat="false" ht="15" hidden="false" customHeight="false" outlineLevel="0" collapsed="false">
      <c r="F17" s="13" t="str">
        <f aca="false">IF(OR($D17="",$E17=""),"",$D17*$E17)</f>
        <v/>
      </c>
      <c r="G17" s="8" t="str">
        <f aca="false">IF($F17="","",$F17/$F$34)</f>
        <v/>
      </c>
    </row>
    <row r="18" customFormat="false" ht="15" hidden="false" customHeight="false" outlineLevel="0" collapsed="false">
      <c r="F18" s="13" t="str">
        <f aca="false">IF(OR($D18="",$E18=""),"",$D18*$E18)</f>
        <v/>
      </c>
      <c r="G18" s="8" t="str">
        <f aca="false">IF($F18="","",$F18/$F$34)</f>
        <v/>
      </c>
    </row>
    <row r="19" customFormat="false" ht="15" hidden="false" customHeight="false" outlineLevel="0" collapsed="false">
      <c r="F19" s="13" t="str">
        <f aca="false">IF(OR($D19="",$E19=""),"",$D19*$E19)</f>
        <v/>
      </c>
      <c r="G19" s="8" t="str">
        <f aca="false">IF($F19="","",$F19/$F$34)</f>
        <v/>
      </c>
    </row>
    <row r="20" customFormat="false" ht="15" hidden="false" customHeight="false" outlineLevel="0" collapsed="false">
      <c r="F20" s="13" t="str">
        <f aca="false">IF(OR($D20="",$E20=""),"",$D20*$E20)</f>
        <v/>
      </c>
      <c r="G20" s="8" t="str">
        <f aca="false">IF($F20="","",$F20/$F$34)</f>
        <v/>
      </c>
    </row>
    <row r="21" customFormat="false" ht="15" hidden="false" customHeight="false" outlineLevel="0" collapsed="false">
      <c r="F21" s="13" t="str">
        <f aca="false">IF(OR($D21="",$E21=""),"",$D21*$E21)</f>
        <v/>
      </c>
      <c r="G21" s="8" t="str">
        <f aca="false">IF($F21="","",$F21/$F$34)</f>
        <v/>
      </c>
    </row>
    <row r="22" customFormat="false" ht="15" hidden="false" customHeight="false" outlineLevel="0" collapsed="false">
      <c r="F22" s="13" t="str">
        <f aca="false">IF(OR($D22="",$E22=""),"",$D22*$E22)</f>
        <v/>
      </c>
      <c r="G22" s="8" t="str">
        <f aca="false">IF($F22="","",$F22/$F$34)</f>
        <v/>
      </c>
    </row>
    <row r="23" customFormat="false" ht="15" hidden="false" customHeight="false" outlineLevel="0" collapsed="false">
      <c r="F23" s="13" t="str">
        <f aca="false">IF(OR($D23="",$E23=""),"",$D23*$E23)</f>
        <v/>
      </c>
      <c r="G23" s="8" t="str">
        <f aca="false">IF($F23="","",$F23/$F$34)</f>
        <v/>
      </c>
    </row>
    <row r="24" customFormat="false" ht="15" hidden="false" customHeight="false" outlineLevel="0" collapsed="false">
      <c r="F24" s="13" t="str">
        <f aca="false">IF(OR($D24="",$E24=""),"",$D24*$E24)</f>
        <v/>
      </c>
      <c r="G24" s="8" t="str">
        <f aca="false">IF($F24="","",$F24/$F$34)</f>
        <v/>
      </c>
    </row>
    <row r="25" customFormat="false" ht="15" hidden="false" customHeight="false" outlineLevel="0" collapsed="false">
      <c r="F25" s="13" t="str">
        <f aca="false">IF(OR($D25="",$E25=""),"",$D25*$E25)</f>
        <v/>
      </c>
      <c r="G25" s="8" t="str">
        <f aca="false">IF($F25="","",$F25/$F$34)</f>
        <v/>
      </c>
    </row>
    <row r="26" customFormat="false" ht="15" hidden="false" customHeight="false" outlineLevel="0" collapsed="false">
      <c r="F26" s="13" t="str">
        <f aca="false">IF(OR($D26="",$E26=""),"",$D26*$E26)</f>
        <v/>
      </c>
      <c r="G26" s="8" t="str">
        <f aca="false">IF($F26="","",$F26/$F$34)</f>
        <v/>
      </c>
    </row>
    <row r="27" customFormat="false" ht="15" hidden="false" customHeight="false" outlineLevel="0" collapsed="false">
      <c r="F27" s="13" t="str">
        <f aca="false">IF(OR($D27="",$E27=""),"",$D27*$E27)</f>
        <v/>
      </c>
      <c r="G27" s="8" t="str">
        <f aca="false">IF($F27="","",$F27/$F$34)</f>
        <v/>
      </c>
    </row>
    <row r="28" customFormat="false" ht="15" hidden="false" customHeight="false" outlineLevel="0" collapsed="false">
      <c r="F28" s="13" t="str">
        <f aca="false">IF(OR($D28="",$E28=""),"",$D28*$E28)</f>
        <v/>
      </c>
      <c r="G28" s="8" t="str">
        <f aca="false">IF($F28="","",$F28/$F$34)</f>
        <v/>
      </c>
    </row>
    <row r="29" customFormat="false" ht="15" hidden="false" customHeight="false" outlineLevel="0" collapsed="false">
      <c r="F29" s="13" t="str">
        <f aca="false">IF(OR($D29="",$E29=""),"",$D29*$E29)</f>
        <v/>
      </c>
      <c r="G29" s="8" t="str">
        <f aca="false">IF($F29="","",$F29/$F$34)</f>
        <v/>
      </c>
    </row>
    <row r="30" customFormat="false" ht="15" hidden="false" customHeight="false" outlineLevel="0" collapsed="false">
      <c r="F30" s="13" t="str">
        <f aca="false">IF(OR($D30="",$E30=""),"",$D30*$E30)</f>
        <v/>
      </c>
      <c r="G30" s="8" t="str">
        <f aca="false">IF($F30="","",$F30/$F$34)</f>
        <v/>
      </c>
    </row>
    <row r="31" customFormat="false" ht="15" hidden="false" customHeight="false" outlineLevel="0" collapsed="false">
      <c r="F31" s="13" t="str">
        <f aca="false">IF(OR($D31="",$E31=""),"",$D31*$E31)</f>
        <v/>
      </c>
      <c r="G31" s="8" t="str">
        <f aca="false">IF($F31="","",$F31/$F$34)</f>
        <v/>
      </c>
    </row>
    <row r="32" customFormat="false" ht="15" hidden="false" customHeight="false" outlineLevel="0" collapsed="false">
      <c r="F32" s="13" t="str">
        <f aca="false">IF(OR($D32="",$E32=""),"",$D32*$E32)</f>
        <v/>
      </c>
      <c r="G32" s="8" t="str">
        <f aca="false">IF($F32="","",$F32/$F$34)</f>
        <v/>
      </c>
    </row>
    <row r="33" customFormat="false" ht="15" hidden="false" customHeight="false" outlineLevel="0" collapsed="false">
      <c r="F33" s="13" t="str">
        <f aca="false">IF(OR($D33="",$E33=""),"",$D33*$E33)</f>
        <v/>
      </c>
      <c r="G33" s="8" t="str">
        <f aca="false">IF($F33="","",$F33/$F$34)</f>
        <v/>
      </c>
    </row>
    <row r="34" customFormat="false" ht="15" hidden="false" customHeight="false" outlineLevel="0" collapsed="false">
      <c r="A34" s="3" t="s">
        <v>44</v>
      </c>
      <c r="F34" s="14" t="n">
        <f aca="false">SUM(F4:F33)</f>
        <v>100318</v>
      </c>
    </row>
  </sheetData>
  <dataValidations count="2">
    <dataValidation allowBlank="true" errorStyle="stop" operator="between" showDropDown="false" showErrorMessage="false" showInputMessage="false" sqref="C4:C33" type="list">
      <formula1>"Azioni,Obbligazioni,Liquidità"</formula1>
      <formula2>0</formula2>
    </dataValidation>
    <dataValidation allowBlank="true" errorStyle="stop" operator="between" showDropDown="false" showErrorMessage="false" showInputMessage="false" sqref="B4:B33" type="list">
      <formula1>Impostazioni!$A$6:$A$11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7" min="6" style="1" width="13"/>
  </cols>
  <sheetData>
    <row r="1" customFormat="false" ht="16.15" hidden="false" customHeight="false" outlineLevel="0" collapsed="false">
      <c r="A1" s="2" t="s">
        <v>45</v>
      </c>
    </row>
    <row r="3" customFormat="false" ht="15" hidden="false" customHeight="false" outlineLevel="0" collapsed="false">
      <c r="A3" s="3" t="s">
        <v>46</v>
      </c>
    </row>
    <row r="4" customFormat="false" ht="15" hidden="false" customHeight="false" outlineLevel="0" collapsed="false">
      <c r="A4" s="5" t="s">
        <v>16</v>
      </c>
      <c r="B4" s="5" t="s">
        <v>47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52</v>
      </c>
    </row>
    <row r="5" customFormat="false" ht="15" hidden="false" customHeight="false" outlineLevel="0" collapsed="false">
      <c r="A5" s="15" t="str">
        <f aca="false">IF(Impostazioni!A6="","",Impostazioni!A6)</f>
        <v>Fondo emergenza</v>
      </c>
      <c r="B5" s="13" t="n">
        <f aca="false">IF($A5="","",SUMIFS(Posizioni!$F$4:$F$33,Posizioni!$B$4:$B$33,$A5))</f>
        <v>12000</v>
      </c>
      <c r="C5" s="8" t="n">
        <f aca="false">IF($A5="","",IFERROR(SUMIFS(Posizioni!$F$4:$F$33,Posizioni!$B$4:$B$33,$A5,Posizioni!$C$4:$C$33,"Azioni")/$B5,0))</f>
        <v>0</v>
      </c>
      <c r="D5" s="8" t="n">
        <f aca="false">IF($A5="","",Impostazioni!D6)</f>
        <v>0</v>
      </c>
      <c r="E5" s="8" t="n">
        <f aca="false">IF($A5="","",$C5-$D5)</f>
        <v>0</v>
      </c>
      <c r="F5" s="8" t="n">
        <f aca="false">IF($A5="","",MIN(Impostazioni!$B$14,Impostazioni!$B$15*$D5))</f>
        <v>0</v>
      </c>
      <c r="G5" s="16" t="str">
        <f aca="false">IF($A5="","",IF($B5=0,"—",IF(ABS($E5)&gt;$F5,"RIBILANCIA",IF(ABS($E5)&gt;0.8*$F5,"VICINO","OK"))))</f>
        <v>OK</v>
      </c>
    </row>
    <row r="6" customFormat="false" ht="15" hidden="false" customHeight="false" outlineLevel="0" collapsed="false">
      <c r="A6" s="15" t="str">
        <f aca="false">IF(Impostazioni!A7="","",Impostazioni!A7)</f>
        <v>Casa</v>
      </c>
      <c r="B6" s="13" t="n">
        <f aca="false">IF($A6="","",SUMIFS(Posizioni!$F$4:$F$33,Posizioni!$B$4:$B$33,$A6))</f>
        <v>44650</v>
      </c>
      <c r="C6" s="8" t="n">
        <f aca="false">IF($A6="","",IFERROR(SUMIFS(Posizioni!$F$4:$F$33,Posizioni!$B$4:$B$33,$A6,Posizioni!$C$4:$C$33,"Azioni")/$B6,0))</f>
        <v>0.412094064949608</v>
      </c>
      <c r="D6" s="8" t="n">
        <f aca="false">IF($A6="","",Impostazioni!D7)</f>
        <v>0.4</v>
      </c>
      <c r="E6" s="8" t="n">
        <f aca="false">IF($A6="","",$C6-$D6)</f>
        <v>0.012094064949608</v>
      </c>
      <c r="F6" s="8" t="n">
        <f aca="false">IF($A6="","",MIN(Impostazioni!$B$14,Impostazioni!$B$15*$D6))</f>
        <v>0.05</v>
      </c>
      <c r="G6" s="16" t="str">
        <f aca="false">IF($A6="","",IF($B6=0,"—",IF(ABS($E6)&gt;$F6,"RIBILANCIA",IF(ABS($E6)&gt;0.8*$F6,"VICINO","OK"))))</f>
        <v>OK</v>
      </c>
    </row>
    <row r="7" customFormat="false" ht="15" hidden="false" customHeight="false" outlineLevel="0" collapsed="false">
      <c r="A7" s="15" t="str">
        <f aca="false">IF(Impostazioni!A8="","",Impostazioni!A8)</f>
        <v>Lungo termine</v>
      </c>
      <c r="B7" s="13" t="n">
        <f aca="false">IF($A7="","",SUMIFS(Posizioni!$F$4:$F$33,Posizioni!$B$4:$B$33,$A7))</f>
        <v>43668</v>
      </c>
      <c r="C7" s="8" t="n">
        <f aca="false">IF($A7="","",IFERROR(SUMIFS(Posizioni!$F$4:$F$33,Posizioni!$B$4:$B$33,$A7,Posizioni!$C$4:$C$33,"Azioni")/$B7,0))</f>
        <v>0.842722359622607</v>
      </c>
      <c r="D7" s="8" t="n">
        <f aca="false">IF($A7="","",Impostazioni!D8)</f>
        <v>0.9</v>
      </c>
      <c r="E7" s="8" t="n">
        <f aca="false">IF($A7="","",$C7-$D7)</f>
        <v>-0.057277640377393</v>
      </c>
      <c r="F7" s="8" t="n">
        <f aca="false">IF($A7="","",MIN(Impostazioni!$B$14,Impostazioni!$B$15*$D7))</f>
        <v>0.05</v>
      </c>
      <c r="G7" s="16" t="str">
        <f aca="false">IF($A7="","",IF($B7=0,"—",IF(ABS($E7)&gt;$F7,"RIBILANCIA",IF(ABS($E7)&gt;0.8*$F7,"VICINO","OK"))))</f>
        <v>RIBILANCIA</v>
      </c>
    </row>
    <row r="8" customFormat="false" ht="15" hidden="false" customHeight="false" outlineLevel="0" collapsed="false">
      <c r="A8" s="15" t="str">
        <f aca="false">IF(Impostazioni!A9="","",Impostazioni!A9)</f>
        <v/>
      </c>
      <c r="B8" s="13" t="str">
        <f aca="false">IF($A8="","",SUMIFS(Posizioni!$F$4:$F$33,Posizioni!$B$4:$B$33,$A8))</f>
        <v/>
      </c>
      <c r="C8" s="8" t="str">
        <f aca="false">IF($A8="","",IFERROR(SUMIFS(Posizioni!$F$4:$F$33,Posizioni!$B$4:$B$33,$A8,Posizioni!$C$4:$C$33,"Azioni")/$B8,0))</f>
        <v/>
      </c>
      <c r="D8" s="8" t="str">
        <f aca="false">IF($A8="","",Impostazioni!D9)</f>
        <v/>
      </c>
      <c r="E8" s="8" t="str">
        <f aca="false">IF($A8="","",$C8-$D8)</f>
        <v/>
      </c>
      <c r="F8" s="8" t="str">
        <f aca="false">IF($A8="","",MIN(Impostazioni!$B$14,Impostazioni!$B$15*$D8))</f>
        <v/>
      </c>
      <c r="G8" s="16" t="str">
        <f aca="false">IF($A8="","",IF($B8=0,"—",IF(ABS($E8)&gt;$F8,"RIBILANCIA",IF(ABS($E8)&gt;0.8*$F8,"VICINO","OK"))))</f>
        <v/>
      </c>
    </row>
    <row r="9" customFormat="false" ht="15" hidden="false" customHeight="false" outlineLevel="0" collapsed="false">
      <c r="A9" s="15" t="str">
        <f aca="false">IF(Impostazioni!A10="","",Impostazioni!A10)</f>
        <v/>
      </c>
      <c r="B9" s="13" t="str">
        <f aca="false">IF($A9="","",SUMIFS(Posizioni!$F$4:$F$33,Posizioni!$B$4:$B$33,$A9))</f>
        <v/>
      </c>
      <c r="C9" s="8" t="str">
        <f aca="false">IF($A9="","",IFERROR(SUMIFS(Posizioni!$F$4:$F$33,Posizioni!$B$4:$B$33,$A9,Posizioni!$C$4:$C$33,"Azioni")/$B9,0))</f>
        <v/>
      </c>
      <c r="D9" s="8" t="str">
        <f aca="false">IF($A9="","",Impostazioni!D10)</f>
        <v/>
      </c>
      <c r="E9" s="8" t="str">
        <f aca="false">IF($A9="","",$C9-$D9)</f>
        <v/>
      </c>
      <c r="F9" s="8" t="str">
        <f aca="false">IF($A9="","",MIN(Impostazioni!$B$14,Impostazioni!$B$15*$D9))</f>
        <v/>
      </c>
      <c r="G9" s="16" t="str">
        <f aca="false">IF($A9="","",IF($B9=0,"—",IF(ABS($E9)&gt;$F9,"RIBILANCIA",IF(ABS($E9)&gt;0.8*$F9,"VICINO","OK"))))</f>
        <v/>
      </c>
    </row>
    <row r="10" customFormat="false" ht="15" hidden="false" customHeight="false" outlineLevel="0" collapsed="false">
      <c r="A10" s="15" t="str">
        <f aca="false">IF(Impostazioni!A11="","",Impostazioni!A11)</f>
        <v/>
      </c>
      <c r="B10" s="13" t="str">
        <f aca="false">IF($A10="","",SUMIFS(Posizioni!$F$4:$F$33,Posizioni!$B$4:$B$33,$A10))</f>
        <v/>
      </c>
      <c r="C10" s="8" t="str">
        <f aca="false">IF($A10="","",IFERROR(SUMIFS(Posizioni!$F$4:$F$33,Posizioni!$B$4:$B$33,$A10,Posizioni!$C$4:$C$33,"Azioni")/$B10,0))</f>
        <v/>
      </c>
      <c r="D10" s="8" t="str">
        <f aca="false">IF($A10="","",Impostazioni!D11)</f>
        <v/>
      </c>
      <c r="E10" s="8" t="str">
        <f aca="false">IF($A10="","",$C10-$D10)</f>
        <v/>
      </c>
      <c r="F10" s="8" t="str">
        <f aca="false">IF($A10="","",MIN(Impostazioni!$B$14,Impostazioni!$B$15*$D10))</f>
        <v/>
      </c>
      <c r="G10" s="16" t="str">
        <f aca="false">IF($A10="","",IF($B10=0,"—",IF(ABS($E10)&gt;$F10,"RIBILANCIA",IF(ABS($E10)&gt;0.8*$F10,"VICINO","OK"))))</f>
        <v/>
      </c>
    </row>
    <row r="13" customFormat="false" ht="15" hidden="false" customHeight="false" outlineLevel="0" collapsed="false">
      <c r="A13" s="3" t="s">
        <v>53</v>
      </c>
    </row>
    <row r="14" customFormat="false" ht="15" hidden="false" customHeight="false" outlineLevel="0" collapsed="false">
      <c r="A14" s="5" t="s">
        <v>32</v>
      </c>
      <c r="B14" s="5" t="s">
        <v>54</v>
      </c>
      <c r="C14" s="5" t="s">
        <v>55</v>
      </c>
      <c r="D14" s="5" t="s">
        <v>49</v>
      </c>
      <c r="E14" s="5" t="s">
        <v>50</v>
      </c>
      <c r="F14" s="5" t="s">
        <v>52</v>
      </c>
    </row>
    <row r="15" customFormat="false" ht="15" hidden="false" customHeight="false" outlineLevel="0" collapsed="false">
      <c r="A15" s="1" t="s">
        <v>40</v>
      </c>
      <c r="B15" s="13" t="n">
        <f aca="false">SUMIFS(Posizioni!$F$4:$F$33,Posizioni!$C$4:$C$33,"Azioni")</f>
        <v>55200</v>
      </c>
      <c r="C15" s="8" t="n">
        <f aca="false">IFERROR($B15/$B$18,0)</f>
        <v>0.550250204350167</v>
      </c>
      <c r="D15" s="8" t="n">
        <f aca="false">IFERROR(SUMPRODUCT($B$5:$B$10,$D$5:$D$10)/$B$18,0)</f>
        <v>0.569800035885883</v>
      </c>
      <c r="E15" s="8" t="n">
        <f aca="false">$C$15-$D$15</f>
        <v>-0.0195498315357164</v>
      </c>
      <c r="F15" s="16" t="str">
        <f aca="false">IF(ABS($E$15)&gt;MIN(Impostazioni!$B$14,Impostazioni!$B$15*$D$15),"RIBILANCIA",IF(ABS($E$15)&gt;0.8*MIN(Impostazioni!$B$14,Impostazioni!$B$15*$D$15),"VICINO","OK"))</f>
        <v>OK</v>
      </c>
    </row>
    <row r="16" customFormat="false" ht="15" hidden="false" customHeight="false" outlineLevel="0" collapsed="false">
      <c r="A16" s="1" t="s">
        <v>42</v>
      </c>
      <c r="B16" s="13" t="n">
        <f aca="false">SUMIFS(Posizioni!$F$4:$F$33,Posizioni!$C$4:$C$33,"Obbligazioni")</f>
        <v>26250</v>
      </c>
      <c r="C16" s="8" t="n">
        <f aca="false">IFERROR($B16/$B$18,0)</f>
        <v>0.261667896090432</v>
      </c>
      <c r="D16" s="1" t="str">
        <f aca="false">"—"</f>
        <v>—</v>
      </c>
    </row>
    <row r="17" customFormat="false" ht="15" hidden="false" customHeight="false" outlineLevel="0" collapsed="false">
      <c r="A17" s="1" t="s">
        <v>38</v>
      </c>
      <c r="B17" s="13" t="n">
        <f aca="false">SUMIFS(Posizioni!$F$4:$F$33,Posizioni!$C$4:$C$33,"Liquidità")</f>
        <v>18868</v>
      </c>
      <c r="C17" s="8" t="n">
        <f aca="false">IFERROR($B17/$B$18,0)</f>
        <v>0.188081899559401</v>
      </c>
      <c r="D17" s="1" t="str">
        <f aca="false">"—"</f>
        <v>—</v>
      </c>
    </row>
    <row r="18" customFormat="false" ht="15" hidden="false" customHeight="false" outlineLevel="0" collapsed="false">
      <c r="A18" s="3" t="s">
        <v>44</v>
      </c>
      <c r="B18" s="17" t="n">
        <f aca="false">Posizioni!$F$34</f>
        <v>100318</v>
      </c>
    </row>
    <row r="20" customFormat="false" ht="15" hidden="false" customHeight="false" outlineLevel="0" collapsed="false">
      <c r="A20" s="1" t="s">
        <v>56</v>
      </c>
    </row>
  </sheetData>
  <conditionalFormatting sqref="G5:G10">
    <cfRule type="cellIs" priority="2" operator="equal" aboveAverage="0" equalAverage="0" bottom="0" percent="0" rank="0" text="" dxfId="0">
      <formula>"RIBILANCIA"</formula>
    </cfRule>
    <cfRule type="cellIs" priority="3" operator="equal" aboveAverage="0" equalAverage="0" bottom="0" percent="0" rank="0" text="" dxfId="1">
      <formula>"VICINO"</formula>
    </cfRule>
    <cfRule type="cellIs" priority="4" operator="equal" aboveAverage="0" equalAverage="0" bottom="0" percent="0" rank="0" text="" dxfId="2">
      <formula>"OK"</formula>
    </cfRule>
  </conditionalFormatting>
  <conditionalFormatting sqref="F15">
    <cfRule type="cellIs" priority="5" operator="equal" aboveAverage="0" equalAverage="0" bottom="0" percent="0" rank="0" text="" dxfId="0">
      <formula>"RIBILANCIA"</formula>
    </cfRule>
    <cfRule type="cellIs" priority="6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6" min="6" style="1" width="20"/>
    <col collapsed="false" customWidth="true" hidden="false" outlineLevel="0" max="7" min="7" style="1" width="15"/>
    <col collapsed="false" customWidth="true" hidden="false" outlineLevel="0" max="8" min="8" style="1" width="20"/>
  </cols>
  <sheetData>
    <row r="1" customFormat="false" ht="16.15" hidden="false" customHeight="false" outlineLevel="0" collapsed="false">
      <c r="A1" s="2" t="s">
        <v>57</v>
      </c>
    </row>
    <row r="3" customFormat="false" ht="15" hidden="false" customHeight="false" outlineLevel="0" collapsed="false">
      <c r="A3" s="5" t="s">
        <v>58</v>
      </c>
      <c r="B3" s="5" t="s">
        <v>16</v>
      </c>
      <c r="C3" s="5" t="s">
        <v>59</v>
      </c>
      <c r="D3" s="5" t="s">
        <v>60</v>
      </c>
      <c r="F3" s="5" t="s">
        <v>16</v>
      </c>
      <c r="G3" s="5" t="s">
        <v>61</v>
      </c>
      <c r="H3" s="5" t="s">
        <v>62</v>
      </c>
    </row>
    <row r="4" customFormat="false" ht="15" hidden="false" customHeight="false" outlineLevel="0" collapsed="false">
      <c r="A4" s="18" t="n">
        <v>46037</v>
      </c>
      <c r="B4" s="6" t="s">
        <v>22</v>
      </c>
      <c r="C4" s="7" t="n">
        <v>250</v>
      </c>
      <c r="D4" s="6" t="s">
        <v>63</v>
      </c>
      <c r="F4" s="15" t="str">
        <f aca="false">IF(Impostazioni!A6="","",Impostazioni!A6)</f>
        <v>Fondo emergenza</v>
      </c>
      <c r="G4" s="13" t="n">
        <f aca="false">IF($F4="","",SUMIFS($C$4:$C$63,$B$4:$B$63,$F4))</f>
        <v>0</v>
      </c>
      <c r="H4" s="13" t="n">
        <f aca="true">IF($F4="","",SUMIFS($C$4:$C$63,$B$4:$B$63,$F4,$A$4:$A$63,"&gt;="&amp;DATE(YEAR(TODAY()),1,1)))</f>
        <v>0</v>
      </c>
    </row>
    <row r="5" customFormat="false" ht="15" hidden="false" customHeight="false" outlineLevel="0" collapsed="false">
      <c r="A5" s="18" t="n">
        <v>46069</v>
      </c>
      <c r="B5" s="6" t="s">
        <v>22</v>
      </c>
      <c r="C5" s="7" t="n">
        <v>250</v>
      </c>
      <c r="D5" s="6" t="s">
        <v>63</v>
      </c>
      <c r="F5" s="15" t="str">
        <f aca="false">IF(Impostazioni!A7="","",Impostazioni!A7)</f>
        <v>Casa</v>
      </c>
      <c r="G5" s="13" t="n">
        <f aca="false">IF($F5="","",SUMIFS($C$4:$C$63,$B$4:$B$63,$F5))</f>
        <v>500</v>
      </c>
      <c r="H5" s="13" t="n">
        <f aca="true">IF($F5="","",SUMIFS($C$4:$C$63,$B$4:$B$63,$F5,$A$4:$A$63,"&gt;="&amp;DATE(YEAR(TODAY()),1,1)))</f>
        <v>500</v>
      </c>
    </row>
    <row r="6" customFormat="false" ht="15" hidden="false" customHeight="false" outlineLevel="0" collapsed="false">
      <c r="A6" s="19"/>
      <c r="C6" s="13"/>
      <c r="F6" s="15" t="str">
        <f aca="false">IF(Impostazioni!A8="","",Impostazioni!A8)</f>
        <v>Lungo termine</v>
      </c>
      <c r="G6" s="13" t="n">
        <f aca="false">IF($F6="","",SUMIFS($C$4:$C$63,$B$4:$B$63,$F6))</f>
        <v>0</v>
      </c>
      <c r="H6" s="13" t="n">
        <f aca="true">IF($F6="","",SUMIFS($C$4:$C$63,$B$4:$B$63,$F6,$A$4:$A$63,"&gt;="&amp;DATE(YEAR(TODAY()),1,1)))</f>
        <v>0</v>
      </c>
    </row>
    <row r="7" customFormat="false" ht="15" hidden="false" customHeight="false" outlineLevel="0" collapsed="false">
      <c r="A7" s="19"/>
      <c r="C7" s="13"/>
      <c r="F7" s="15" t="str">
        <f aca="false">IF(Impostazioni!A9="","",Impostazioni!A9)</f>
        <v/>
      </c>
      <c r="G7" s="13" t="str">
        <f aca="false">IF($F7="","",SUMIFS($C$4:$C$63,$B$4:$B$63,$F7))</f>
        <v/>
      </c>
      <c r="H7" s="13" t="str">
        <f aca="true">IF($F7="","",SUMIFS($C$4:$C$63,$B$4:$B$63,$F7,$A$4:$A$63,"&gt;="&amp;DATE(YEAR(TODAY()),1,1)))</f>
        <v/>
      </c>
    </row>
    <row r="8" customFormat="false" ht="15" hidden="false" customHeight="false" outlineLevel="0" collapsed="false">
      <c r="A8" s="19"/>
      <c r="C8" s="13"/>
      <c r="F8" s="15" t="str">
        <f aca="false">IF(Impostazioni!A10="","",Impostazioni!A10)</f>
        <v/>
      </c>
      <c r="G8" s="13" t="str">
        <f aca="false">IF($F8="","",SUMIFS($C$4:$C$63,$B$4:$B$63,$F8))</f>
        <v/>
      </c>
      <c r="H8" s="13" t="str">
        <f aca="true">IF($F8="","",SUMIFS($C$4:$C$63,$B$4:$B$63,$F8,$A$4:$A$63,"&gt;="&amp;DATE(YEAR(TODAY()),1,1)))</f>
        <v/>
      </c>
    </row>
    <row r="9" customFormat="false" ht="15" hidden="false" customHeight="false" outlineLevel="0" collapsed="false">
      <c r="A9" s="19"/>
      <c r="C9" s="13"/>
      <c r="F9" s="15" t="str">
        <f aca="false">IF(Impostazioni!A11="","",Impostazioni!A11)</f>
        <v/>
      </c>
      <c r="G9" s="13" t="str">
        <f aca="false">IF($F9="","",SUMIFS($C$4:$C$63,$B$4:$B$63,$F9))</f>
        <v/>
      </c>
      <c r="H9" s="13" t="str">
        <f aca="true">IF($F9="","",SUMIFS($C$4:$C$63,$B$4:$B$63,$F9,$A$4:$A$63,"&gt;="&amp;DATE(YEAR(TODAY()),1,1)))</f>
        <v/>
      </c>
    </row>
    <row r="10" customFormat="false" ht="15" hidden="false" customHeight="false" outlineLevel="0" collapsed="false">
      <c r="A10" s="19"/>
      <c r="C10" s="13"/>
    </row>
    <row r="11" customFormat="false" ht="15" hidden="false" customHeight="false" outlineLevel="0" collapsed="false">
      <c r="A11" s="19"/>
      <c r="C11" s="13"/>
    </row>
    <row r="12" customFormat="false" ht="15" hidden="false" customHeight="false" outlineLevel="0" collapsed="false">
      <c r="A12" s="19"/>
      <c r="C12" s="13"/>
    </row>
    <row r="13" customFormat="false" ht="15" hidden="false" customHeight="false" outlineLevel="0" collapsed="false">
      <c r="A13" s="19"/>
      <c r="C13" s="13"/>
    </row>
    <row r="14" customFormat="false" ht="15" hidden="false" customHeight="false" outlineLevel="0" collapsed="false">
      <c r="A14" s="19"/>
      <c r="C14" s="13"/>
    </row>
    <row r="15" customFormat="false" ht="15" hidden="false" customHeight="false" outlineLevel="0" collapsed="false">
      <c r="A15" s="19"/>
      <c r="C15" s="13"/>
    </row>
    <row r="16" customFormat="false" ht="15" hidden="false" customHeight="false" outlineLevel="0" collapsed="false">
      <c r="A16" s="19"/>
      <c r="C16" s="13"/>
    </row>
    <row r="17" customFormat="false" ht="15" hidden="false" customHeight="false" outlineLevel="0" collapsed="false">
      <c r="A17" s="19"/>
      <c r="C17" s="13"/>
    </row>
    <row r="18" customFormat="false" ht="15" hidden="false" customHeight="false" outlineLevel="0" collapsed="false">
      <c r="A18" s="19"/>
      <c r="C18" s="13"/>
    </row>
    <row r="19" customFormat="false" ht="15" hidden="false" customHeight="false" outlineLevel="0" collapsed="false">
      <c r="A19" s="19"/>
      <c r="C19" s="13"/>
    </row>
    <row r="20" customFormat="false" ht="15" hidden="false" customHeight="false" outlineLevel="0" collapsed="false">
      <c r="A20" s="19"/>
      <c r="C20" s="13"/>
    </row>
    <row r="21" customFormat="false" ht="15" hidden="false" customHeight="false" outlineLevel="0" collapsed="false">
      <c r="A21" s="19"/>
      <c r="C21" s="13"/>
    </row>
    <row r="22" customFormat="false" ht="15" hidden="false" customHeight="false" outlineLevel="0" collapsed="false">
      <c r="A22" s="19"/>
      <c r="C22" s="13"/>
    </row>
    <row r="23" customFormat="false" ht="15" hidden="false" customHeight="false" outlineLevel="0" collapsed="false">
      <c r="A23" s="19"/>
      <c r="C23" s="13"/>
    </row>
    <row r="24" customFormat="false" ht="15" hidden="false" customHeight="false" outlineLevel="0" collapsed="false">
      <c r="A24" s="19"/>
      <c r="C24" s="13"/>
    </row>
    <row r="25" customFormat="false" ht="15" hidden="false" customHeight="false" outlineLevel="0" collapsed="false">
      <c r="A25" s="19"/>
      <c r="C25" s="13"/>
    </row>
    <row r="26" customFormat="false" ht="15" hidden="false" customHeight="false" outlineLevel="0" collapsed="false">
      <c r="A26" s="19"/>
      <c r="C26" s="13"/>
    </row>
    <row r="27" customFormat="false" ht="15" hidden="false" customHeight="false" outlineLevel="0" collapsed="false">
      <c r="A27" s="19"/>
      <c r="C27" s="13"/>
    </row>
    <row r="28" customFormat="false" ht="15" hidden="false" customHeight="false" outlineLevel="0" collapsed="false">
      <c r="A28" s="19"/>
      <c r="C28" s="13"/>
    </row>
    <row r="29" customFormat="false" ht="15" hidden="false" customHeight="false" outlineLevel="0" collapsed="false">
      <c r="A29" s="19"/>
      <c r="C29" s="13"/>
    </row>
    <row r="30" customFormat="false" ht="15" hidden="false" customHeight="false" outlineLevel="0" collapsed="false">
      <c r="A30" s="19"/>
      <c r="C30" s="13"/>
    </row>
    <row r="31" customFormat="false" ht="15" hidden="false" customHeight="false" outlineLevel="0" collapsed="false">
      <c r="A31" s="19"/>
      <c r="C31" s="13"/>
    </row>
    <row r="32" customFormat="false" ht="15" hidden="false" customHeight="false" outlineLevel="0" collapsed="false">
      <c r="A32" s="19"/>
      <c r="C32" s="13"/>
    </row>
    <row r="33" customFormat="false" ht="15" hidden="false" customHeight="false" outlineLevel="0" collapsed="false">
      <c r="A33" s="19"/>
      <c r="C33" s="13"/>
    </row>
    <row r="34" customFormat="false" ht="15" hidden="false" customHeight="false" outlineLevel="0" collapsed="false">
      <c r="A34" s="19"/>
      <c r="C34" s="13"/>
    </row>
    <row r="35" customFormat="false" ht="15" hidden="false" customHeight="false" outlineLevel="0" collapsed="false">
      <c r="A35" s="19"/>
      <c r="C35" s="13"/>
    </row>
    <row r="36" customFormat="false" ht="15" hidden="false" customHeight="false" outlineLevel="0" collapsed="false">
      <c r="A36" s="19"/>
      <c r="C36" s="13"/>
    </row>
    <row r="37" customFormat="false" ht="15" hidden="false" customHeight="false" outlineLevel="0" collapsed="false">
      <c r="A37" s="19"/>
      <c r="C37" s="13"/>
    </row>
    <row r="38" customFormat="false" ht="15" hidden="false" customHeight="false" outlineLevel="0" collapsed="false">
      <c r="A38" s="19"/>
      <c r="C38" s="13"/>
    </row>
    <row r="39" customFormat="false" ht="15" hidden="false" customHeight="false" outlineLevel="0" collapsed="false">
      <c r="A39" s="19"/>
      <c r="C39" s="13"/>
    </row>
    <row r="40" customFormat="false" ht="15" hidden="false" customHeight="false" outlineLevel="0" collapsed="false">
      <c r="A40" s="19"/>
      <c r="C40" s="13"/>
    </row>
    <row r="41" customFormat="false" ht="15" hidden="false" customHeight="false" outlineLevel="0" collapsed="false">
      <c r="A41" s="19"/>
      <c r="C41" s="13"/>
    </row>
    <row r="42" customFormat="false" ht="15" hidden="false" customHeight="false" outlineLevel="0" collapsed="false">
      <c r="A42" s="19"/>
      <c r="C42" s="13"/>
    </row>
    <row r="43" customFormat="false" ht="15" hidden="false" customHeight="false" outlineLevel="0" collapsed="false">
      <c r="A43" s="19"/>
      <c r="C43" s="13"/>
    </row>
    <row r="44" customFormat="false" ht="15" hidden="false" customHeight="false" outlineLevel="0" collapsed="false">
      <c r="A44" s="19"/>
      <c r="C44" s="13"/>
    </row>
    <row r="45" customFormat="false" ht="15" hidden="false" customHeight="false" outlineLevel="0" collapsed="false">
      <c r="A45" s="19"/>
      <c r="C45" s="13"/>
    </row>
    <row r="46" customFormat="false" ht="15" hidden="false" customHeight="false" outlineLevel="0" collapsed="false">
      <c r="A46" s="19"/>
      <c r="C46" s="13"/>
    </row>
    <row r="47" customFormat="false" ht="15" hidden="false" customHeight="false" outlineLevel="0" collapsed="false">
      <c r="A47" s="19"/>
      <c r="C47" s="13"/>
    </row>
    <row r="48" customFormat="false" ht="15" hidden="false" customHeight="false" outlineLevel="0" collapsed="false">
      <c r="A48" s="19"/>
      <c r="C48" s="13"/>
    </row>
    <row r="49" customFormat="false" ht="15" hidden="false" customHeight="false" outlineLevel="0" collapsed="false">
      <c r="A49" s="19"/>
      <c r="C49" s="13"/>
    </row>
    <row r="50" customFormat="false" ht="15" hidden="false" customHeight="false" outlineLevel="0" collapsed="false">
      <c r="A50" s="19"/>
      <c r="C50" s="13"/>
    </row>
    <row r="51" customFormat="false" ht="15" hidden="false" customHeight="false" outlineLevel="0" collapsed="false">
      <c r="A51" s="19"/>
      <c r="C51" s="13"/>
    </row>
    <row r="52" customFormat="false" ht="15" hidden="false" customHeight="false" outlineLevel="0" collapsed="false">
      <c r="A52" s="19"/>
      <c r="C52" s="13"/>
    </row>
    <row r="53" customFormat="false" ht="15" hidden="false" customHeight="false" outlineLevel="0" collapsed="false">
      <c r="A53" s="19"/>
      <c r="C53" s="13"/>
    </row>
    <row r="54" customFormat="false" ht="15" hidden="false" customHeight="false" outlineLevel="0" collapsed="false">
      <c r="A54" s="19"/>
      <c r="C54" s="13"/>
    </row>
    <row r="55" customFormat="false" ht="15" hidden="false" customHeight="false" outlineLevel="0" collapsed="false">
      <c r="A55" s="19"/>
      <c r="C55" s="13"/>
    </row>
    <row r="56" customFormat="false" ht="15" hidden="false" customHeight="false" outlineLevel="0" collapsed="false">
      <c r="A56" s="19"/>
      <c r="C56" s="13"/>
    </row>
    <row r="57" customFormat="false" ht="15" hidden="false" customHeight="false" outlineLevel="0" collapsed="false">
      <c r="A57" s="19"/>
      <c r="C57" s="13"/>
    </row>
    <row r="58" customFormat="false" ht="15" hidden="false" customHeight="false" outlineLevel="0" collapsed="false">
      <c r="A58" s="19"/>
      <c r="C58" s="13"/>
    </row>
    <row r="59" customFormat="false" ht="15" hidden="false" customHeight="false" outlineLevel="0" collapsed="false">
      <c r="A59" s="19"/>
      <c r="C59" s="13"/>
    </row>
    <row r="60" customFormat="false" ht="15" hidden="false" customHeight="false" outlineLevel="0" collapsed="false">
      <c r="A60" s="19"/>
      <c r="C60" s="13"/>
    </row>
    <row r="61" customFormat="false" ht="15" hidden="false" customHeight="false" outlineLevel="0" collapsed="false">
      <c r="A61" s="19"/>
      <c r="C61" s="13"/>
    </row>
    <row r="62" customFormat="false" ht="15" hidden="false" customHeight="false" outlineLevel="0" collapsed="false">
      <c r="A62" s="19"/>
      <c r="C62" s="13"/>
    </row>
    <row r="63" customFormat="false" ht="15" hidden="false" customHeight="false" outlineLevel="0" collapsed="false">
      <c r="A63" s="19"/>
      <c r="C63" s="13"/>
    </row>
  </sheetData>
  <dataValidations count="1">
    <dataValidation allowBlank="true" errorStyle="stop" operator="between" showDropDown="false" showErrorMessage="false" showInputMessage="false" sqref="B4:B63" type="list">
      <formula1>Impostazioni!$A$6:$A$11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2026-07-02T14:29:59Z</dcterms:created>
  <dc:creator>openpyxl</dc:creator>
  <dc:description/>
  <dc:language>en-US</dc:language>
  <cp:lastModifiedBy/>
  <dcterms:modified xsi:type="dcterms:W3CDTF">2026-07-02T14:29:59Z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