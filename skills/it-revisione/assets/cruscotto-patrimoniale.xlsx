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ggimi" sheetId="1" state="visible" r:id="rId3"/>
    <sheet name="Patrimonio" sheetId="2" state="visible" r:id="rId4"/>
    <sheet name="Allocazione" sheetId="3" state="visible" r:id="rId5"/>
    <sheet name="Andamento" sheetId="4" state="visible" r:id="rId6"/>
    <sheet name="Sintesi" sheetId="5" state="visible" r:id="rId7"/>
    <sheet name="Azioni" sheetId="6" state="visible" r:id="rId8"/>
    <sheet name="Rendimento TWR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<sst xmlns="http://schemas.openxmlformats.org/spreadsheetml/2006/main" count="188" uniqueCount="175">
  <si>
    <t xml:space="preserve">CRUSCOTTO PATRIMONIALE — revisione periodica del piano</t>
  </si>
  <si>
    <t xml:space="preserve">Come si usa:</t>
  </si>
  <si>
    <t xml:space="preserve">1. PATRIMONIO: saldi per contenitore (8 righe). Per più voci inserisci righe DENTRO l'intervallo: i totali si allargano da soli.</t>
  </si>
  <si>
    <t xml:space="preserve">2. ALLOCAZIONE: valore e target per 5 classi. La soglia di ogni classe segue la regola 5/25: la minore tra la banda assoluta e il 25% del target.</t>
  </si>
  <si>
    <t xml:space="preserve">3. ANDAMENTO: versamenti contro mercato (metodo Dietz) e, sotto, i costi dell'anno a scopo di confronto.</t>
  </si>
  <si>
    <t xml:space="preserve">4. SINTESI: fino a 4 obiettivi. Scegli la priorità dalla tendina: lo stato confronta la probabilità Monte Carlo con la soglia della priorità.</t>
  </si>
  <si>
    <t xml:space="preserve">5. AZIONI: le azioni emerse dalla revisione, ordinate per scadenza, impatto e manutenzione.</t>
  </si>
  <si>
    <t xml:space="preserve">6. RENDIMENTO TWR: fino a 120 rilevazioni, una riga per data, compilate dall'alto SENZA righe vuote. Il riepilogo a destra legge da solo l'ultima riga.</t>
  </si>
  <si>
    <t xml:space="preserve">I dati precompilati sono un ESEMPIO da sostituire con i tuoi; le celle con formule si aggiornano da sole.</t>
  </si>
  <si>
    <t xml:space="preserve">Excel e LibreOffice ricalcolano all'apertura: se un visualizzatore mostra valori vecchi, apri il file in uno dei due.</t>
  </si>
  <si>
    <t xml:space="preserve">Strumento educativo: non costituisce consulenza finanziaria.</t>
  </si>
  <si>
    <t xml:space="preserve">Patrimonio netto — per contenitore fiscale</t>
  </si>
  <si>
    <t xml:space="preserve">Compila le celle BLU con i valori a oggi. Il netto e le quote sono calcolati. I contenitori richiamano la reference asset-location.</t>
  </si>
  <si>
    <t xml:space="preserve">Voce</t>
  </si>
  <si>
    <t xml:space="preserve">Valore</t>
  </si>
  <si>
    <t xml:space="preserve">% del netto</t>
  </si>
  <si>
    <t xml:space="preserve">ATTIVITÀ</t>
  </si>
  <si>
    <t xml:space="preserve">Dossier titoli (ETF, azioni, obbligazioni)</t>
  </si>
  <si>
    <t xml:space="preserve">Fondo pensione complementare</t>
  </si>
  <si>
    <t xml:space="preserve">Conto deposito</t>
  </si>
  <si>
    <t xml:space="preserve">Liquidità (conto corrente)</t>
  </si>
  <si>
    <t xml:space="preserve">Polizze vita / altri prodotti</t>
  </si>
  <si>
    <t xml:space="preserve">Immobili (valore di mercato)</t>
  </si>
  <si>
    <t xml:space="preserve">Cripto-attività</t>
  </si>
  <si>
    <t xml:space="preserve">Altro</t>
  </si>
  <si>
    <t xml:space="preserve">Totale attività</t>
  </si>
  <si>
    <t xml:space="preserve">PASSIVITÀ</t>
  </si>
  <si>
    <t xml:space="preserve">Mutuo (debito residuo)</t>
  </si>
  <si>
    <t xml:space="preserve">Altri prestiti</t>
  </si>
  <si>
    <t xml:space="preserve">Totale passività</t>
  </si>
  <si>
    <t xml:space="preserve">PATRIMONIO NETTO</t>
  </si>
  <si>
    <t xml:space="preserve">Allocazione: attuale vs target</t>
  </si>
  <si>
    <t xml:space="preserve">Inserisci l'importo per classe e il target %. Il drift e l'eventuale segnale di ribilanciamento sono calcolati. Il target lo dà il glide path aggregato degli obiettivi.</t>
  </si>
  <si>
    <t xml:space="preserve">Classe</t>
  </si>
  <si>
    <t xml:space="preserve">% attuale</t>
  </si>
  <si>
    <t xml:space="preserve">% target</t>
  </si>
  <si>
    <t xml:space="preserve">Drift / azione</t>
  </si>
  <si>
    <t xml:space="preserve">Soglia (5/25)</t>
  </si>
  <si>
    <t xml:space="preserve">Azionario</t>
  </si>
  <si>
    <t xml:space="preserve">Obbligazionario</t>
  </si>
  <si>
    <t xml:space="preserve">Liquidità / monetario</t>
  </si>
  <si>
    <t xml:space="preserve">Immobiliare</t>
  </si>
  <si>
    <t xml:space="preserve">Alternativi / altro</t>
  </si>
  <si>
    <t xml:space="preserve">Totale</t>
  </si>
  <si>
    <t xml:space="preserve">Banda assoluta massima</t>
  </si>
  <si>
    <t xml:space="preserve">regola 5/25: la soglia di ogni classe è la minore tra questa banda e il 25% del suo target (colonna F)</t>
  </si>
  <si>
    <t xml:space="preserve">Il ribilanciamento più efficiente sfrutta i flussi (versamenti verso la classe sottopesata) e,</t>
  </si>
  <si>
    <t xml:space="preserve">a fine anno, le minusvalenze in scadenza per compensare le plus da vendita del sovrappeso.</t>
  </si>
  <si>
    <t xml:space="preserve">Vedi it-rebalance/coordinamento-zainetto.md e it-tax-optimization.</t>
  </si>
  <si>
    <t xml:space="preserve">Andamento del periodo — versamenti vs mercato</t>
  </si>
  <si>
    <t xml:space="preserve">Il punto chiave: il saldo cresce per i tuoi versamenti E per il mercato. Questo foglio li separa, così sai quanto hai davvero reso. Tutto sullo stesso periodo (di norma un anno).</t>
  </si>
  <si>
    <t xml:space="preserve">Saldo a inizio periodo</t>
  </si>
  <si>
    <t xml:space="preserve">patrimonio investito all'inizio</t>
  </si>
  <si>
    <t xml:space="preserve">Saldo a fine periodo</t>
  </si>
  <si>
    <t xml:space="preserve">patrimonio investito alla fine</t>
  </si>
  <si>
    <t xml:space="preserve">Versamenti netti del periodo</t>
  </si>
  <si>
    <t xml:space="preserve">versato meno prelevato (negativo se hai prelevato)</t>
  </si>
  <si>
    <t xml:space="preserve">Variazione del saldo</t>
  </si>
  <si>
    <t xml:space="preserve">di cui RENDIMENTO di mercato</t>
  </si>
  <si>
    <t xml:space="preserve">variazione meno versamenti: è ciò che ha reso il portafoglio</t>
  </si>
  <si>
    <t xml:space="preserve">di cui versamenti</t>
  </si>
  <si>
    <t xml:space="preserve">non è rendimento: sono soldi tuoi messi da parte</t>
  </si>
  <si>
    <t xml:space="preserve">Base di calcolo (Dietz)</t>
  </si>
  <si>
    <t xml:space="preserve">capitale medio investito nel periodo</t>
  </si>
  <si>
    <t xml:space="preserve">Rendimento % (money-weighted)</t>
  </si>
  <si>
    <t xml:space="preserve">il TUO rendimento, pesato per quando hai versato</t>
  </si>
  <si>
    <t xml:space="preserve">Inflazione del periodo</t>
  </si>
  <si>
    <t xml:space="preserve">Rendimento % reale</t>
  </si>
  <si>
    <t xml:space="preserve">al netto dell'inflazione: il potere d'acquisto guadagnato</t>
  </si>
  <si>
    <t xml:space="preserve">PERCHÉ CONTA: se hai versato €9.000 e il saldo è salito di €18.000, NON hai reso €18.000.</t>
  </si>
  <si>
    <t xml:space="preserve">Metà è denaro tuo. Il rendimento vero è la parte di mercato (qui €9.000), e in percentuale va</t>
  </si>
  <si>
    <t xml:space="preserve">rapportato al capitale medio investito, non al saldo finale. Questo è un rendimento</t>
  </si>
  <si>
    <t xml:space="preserve">'money-weighted' semplificato (metodo Dietz): misura il risultato del TUO capitale. Per giudicare</t>
  </si>
  <si>
    <t xml:space="preserve">la bravura della strategia a prescindere dai flussi serve invece il time-weighted return,</t>
  </si>
  <si>
    <t xml:space="preserve">più complesso da calcolare a mano. Vedi metodo-revisione.md.</t>
  </si>
  <si>
    <t xml:space="preserve">COSTI DELL'ANNO — per confronto, non da sottrarre di nuovo dal rendimento</t>
  </si>
  <si>
    <t xml:space="preserve">Bollo del dossier (0,2% del controvalore a fine periodo)</t>
  </si>
  <si>
    <t xml:space="preserve">senza tetto per le persone fisiche; il fondo pensione è esente</t>
  </si>
  <si>
    <t xml:space="preserve">Commissioni e Tobin tax pagate</t>
  </si>
  <si>
    <t xml:space="preserve">dall'estratto del broker</t>
  </si>
  <si>
    <t xml:space="preserve">Totale costi espliciti</t>
  </si>
  <si>
    <t xml:space="preserve">Costi espliciti % sul capitale medio</t>
  </si>
  <si>
    <t xml:space="preserve">rapportati alla base di Dietz</t>
  </si>
  <si>
    <t xml:space="preserve">TER medio ponderato del dossier</t>
  </si>
  <si>
    <t xml:space="preserve">costo implicito, già incorporato nei prezzi: solo da confrontare</t>
  </si>
  <si>
    <t xml:space="preserve">ISC del fondo pensione</t>
  </si>
  <si>
    <t xml:space="preserve">confrontalo con l'ISC medio COVIP della stessa tipologia; se molto più alto, valuta il trasferimento</t>
  </si>
  <si>
    <t xml:space="preserve">Il rendimento sopra è calcolato sui valori di mercato: TER, ISC, commissioni e bollo addebitati nel dossier sono già dentro.</t>
  </si>
  <si>
    <t xml:space="preserve">Questi numeri servono a confrontare i costi anno su anno, non a correggere il rendimento.</t>
  </si>
  <si>
    <t xml:space="preserve">Sintesi: obiettivi e pensione</t>
  </si>
  <si>
    <t xml:space="preserve">Riassunto dell'avanzamento, da compilare tirando i numeri dagli strumenti dedicati (pianificatore-obiettivi.xlsx, proiezione-pensione.xlsx). Non ricalcola: fa il punto.</t>
  </si>
  <si>
    <t xml:space="preserve">OBIETTIVI</t>
  </si>
  <si>
    <t xml:space="preserve">Obiettivo</t>
  </si>
  <si>
    <t xml:space="preserve">Capitale attuale</t>
  </si>
  <si>
    <t xml:space="preserve">Target</t>
  </si>
  <si>
    <t xml:space="preserve">% completam.</t>
  </si>
  <si>
    <t xml:space="preserve">Prob. successo (MC)</t>
  </si>
  <si>
    <t xml:space="preserve">Stato</t>
  </si>
  <si>
    <t xml:space="preserve">Priorità</t>
  </si>
  <si>
    <t xml:space="preserve">Soglia</t>
  </si>
  <si>
    <t xml:space="preserve">Fondo emergenza</t>
  </si>
  <si>
    <t xml:space="preserve">essenziale</t>
  </si>
  <si>
    <t xml:space="preserve">Università figli</t>
  </si>
  <si>
    <t xml:space="preserve">importante</t>
  </si>
  <si>
    <t xml:space="preserve">PENSIONE</t>
  </si>
  <si>
    <t xml:space="preserve">Tasso di sostituzione proiettato</t>
  </si>
  <si>
    <t xml:space="preserve">da proiezione-pensione.xlsx (o autonomi)</t>
  </si>
  <si>
    <t xml:space="preserve">Tasso di sostituzione obiettivo</t>
  </si>
  <si>
    <t xml:space="preserve">quanto del reddito vuoi mantenere</t>
  </si>
  <si>
    <t xml:space="preserve">Gap previdenziale</t>
  </si>
  <si>
    <t xml:space="preserve">se &gt;0, valuta di aumentare il versamento al fondo pensione</t>
  </si>
  <si>
    <t xml:space="preserve">COME LEGGERLO: un obiettivo 'A rischio' o un gap previdenziale positivo sono le voci ad</t>
  </si>
  <si>
    <t xml:space="preserve">impatto strutturale — agire presto vale più che agire tanto. Le azioni con SCADENZA (minus a</t>
  </si>
  <si>
    <t xml:space="preserve">fine anno, versamento al fondo e comunicazione dei non dedotti entro il 31/12) vanno comunque prima.</t>
  </si>
  <si>
    <t xml:space="preserve">La revisione tiene insieme le due cose: priorità per scadenza, poi per impatto. Vedi la skill it-revisione.</t>
  </si>
  <si>
    <t xml:space="preserve">SOGLIE: lo stato confronta la probabilità Monte Carlo con la soglia della priorità (85% essenziali, 75% importanti, 60% desiderabili, modificabile in colonna H). «Da monitorare» vale fino a 15 punti sotto la soglia: è una scelta arbitraria, da adattare.</t>
  </si>
  <si>
    <t xml:space="preserve">Azioni — tracker della revisione</t>
  </si>
  <si>
    <t xml:space="preserve">Le azioni emerse dalla revisione, ordinate per priorità. Logica: prima le SCADENZE (minus a fine anno, versamento al fondo pensione e comunicazione dei contributi non dedotti entro il 31/12), poi l'IMPATTO strutturale (gap previdenziale, obiettivo a rischio), infine la MANUTENZIONE. Cerca le azioni CROSS-DOMINIO.</t>
  </si>
  <si>
    <t xml:space="preserve">Azione</t>
  </si>
  <si>
    <t xml:space="preserve">Dominio</t>
  </si>
  <si>
    <t xml:space="preserve">Scadenza</t>
  </si>
  <si>
    <t xml:space="preserve">Note</t>
  </si>
  <si>
    <t xml:space="preserve">Ribilanciare vendendo il sovrappeso azionario in plus, compensando con le minus 2022 in scadenza</t>
  </si>
  <si>
    <t xml:space="preserve">cross-dominio</t>
  </si>
  <si>
    <t xml:space="preserve">31/12</t>
  </si>
  <si>
    <t xml:space="preserve">Da fare</t>
  </si>
  <si>
    <t xml:space="preserve">fisco + allocazione in un colpo solo</t>
  </si>
  <si>
    <t xml:space="preserve">Versare al fondo pensione per colmare il gap previdenziale (deduzione entro il 31/12)</t>
  </si>
  <si>
    <t xml:space="preserve">pensione</t>
  </si>
  <si>
    <t xml:space="preserve">Scadenza/Impatto</t>
  </si>
  <si>
    <t xml:space="preserve">gap di sostituzione ~0,15</t>
  </si>
  <si>
    <t xml:space="preserve">Indirizzare il versamento annuale verso l'obbligazionario sottopesato</t>
  </si>
  <si>
    <t xml:space="preserve">allocazione</t>
  </si>
  <si>
    <t xml:space="preserve">Manutenzione</t>
  </si>
  <si>
    <t xml:space="preserve">—</t>
  </si>
  <si>
    <t xml:space="preserve">ribilancia via flussi, nessun realizzo</t>
  </si>
  <si>
    <t xml:space="preserve">Rivedere la probabilità Monte Carlo dell'obiettivo università</t>
  </si>
  <si>
    <t xml:space="preserve">obiettivi</t>
  </si>
  <si>
    <t xml:space="preserve">Impatto</t>
  </si>
  <si>
    <t xml:space="preserve">prossima revisione</t>
  </si>
  <si>
    <t xml:space="preserve">era 'Da monitorare'</t>
  </si>
  <si>
    <t xml:space="preserve">Confrontare l'ISC del comparto del fondo pensione con l'ISC medio COVIP della stessa tipologia</t>
  </si>
  <si>
    <t xml:space="preserve">revisione annuale</t>
  </si>
  <si>
    <t xml:space="preserve">se molto più alto, valuta il trasferimento</t>
  </si>
  <si>
    <t xml:space="preserve">Legenda priorità</t>
  </si>
  <si>
    <t xml:space="preserve">• SCADENZA: ha una data limite (minus in scadenza al 31/12, versamento fondo pensione per la deduzione e comunicazione al fondo dei contributi non dedotti dell'anno). Va fatta entro quella data, prima di tutto.</t>
  </si>
  <si>
    <t xml:space="preserve">• IMPATTO: alto effetto strutturale di lungo periodo (gap previdenziale, obiettivo a rischio). Agire presto vale più che agire tanto.</t>
  </si>
  <si>
    <t xml:space="preserve">• MANUTENZIONE: utile ma raramente urgente (ribilanciamento entro le bande, de-risking del glide path).</t>
  </si>
  <si>
    <t xml:space="preserve">Rendimento time-weighted (TWR) vs money-weighted (MWR)</t>
  </si>
  <si>
    <t xml:space="preserve">Il TWR incatena i rendimenti dei sotto-periodi tra un flusso e l'altro: misura la STRATEGIA a prescindere da QUANDO hai versato — è il numero da confrontare con un benchmark. Il MWR (qui via XIRR, esatto) pesa per i flussi: è come sono andati i TUOI euro. La differenza è l'effetto del timing dei versamenti. Compila le colonne BLU (una riga per data di rilevazione). Compila dall'alto, una riga per data e senza righe vuote: il foglio regge fino a 120 rilevazioni e il riepilogo a destra legge da solo l'ultima.</t>
  </si>
  <si>
    <t xml:space="preserve">RIEPILOGO</t>
  </si>
  <si>
    <t xml:space="preserve">Data</t>
  </si>
  <si>
    <t xml:space="preserve">Valore portaf. (€)</t>
  </si>
  <si>
    <t xml:space="preserve">Flusso netto (€)</t>
  </si>
  <si>
    <t xml:space="preserve">Rend. sotto-periodo</t>
  </si>
  <si>
    <t xml:space="preserve">Indice cumulato</t>
  </si>
  <si>
    <t xml:space="preserve">Flusso per XIRR</t>
  </si>
  <si>
    <t xml:space="preserve">Rilevazioni compilate</t>
  </si>
  <si>
    <t xml:space="preserve">il riepilogo legge da solo l'ultima riga compilata</t>
  </si>
  <si>
    <t xml:space="preserve">TWR del periodo</t>
  </si>
  <si>
    <t xml:space="preserve">rendimento composto della strategia, flussi neutralizzati</t>
  </si>
  <si>
    <t xml:space="preserve">Giorni nel periodo</t>
  </si>
  <si>
    <t xml:space="preserve">durata della finestra in giorni</t>
  </si>
  <si>
    <t xml:space="preserve">TWR annualizzato</t>
  </si>
  <si>
    <t xml:space="preserve">il numero da confrontare con un benchmark (es. 60/40)</t>
  </si>
  <si>
    <t xml:space="preserve">MWR annualizzato (XIRR)</t>
  </si>
  <si>
    <t xml:space="preserve">Differenza (TWR - MWR)</t>
  </si>
  <si>
    <t xml:space="preserve">effetto del TIMING dei flussi: &gt;0 i versamenti hanno 'sbagliato' tempi; &lt;0 li hanno azzeccati</t>
  </si>
  <si>
    <t xml:space="preserve">COME LEGGERLI:</t>
  </si>
  <si>
    <t xml:space="preserve">• Confronta il TWR annualizzato con un benchmark (es. un indice 60/40): dice se la STRATEGIA</t>
  </si>
  <si>
    <t xml:space="preserve">  ha fatto meglio o peggio del mercato, senza l'inquinamento di quando hai messo i soldi.</t>
  </si>
  <si>
    <t xml:space="preserve">• Confronta TWR e MWR tra loro: se MWR &lt; TWR, i tuoi versamenti sono caduti prima di periodi</t>
  </si>
  <si>
    <t xml:space="preserve">  deboli (timing sfortunato/sbagliato); se MWR &gt; TWR, hai versato prima dei rialzi.</t>
  </si>
  <si>
    <t xml:space="preserve">• Il money-weighted del foglio Andamento è la versione semplice (Dietz) sul periodo aggregato;</t>
  </si>
  <si>
    <t xml:space="preserve">  qui il MWR è esatto (XIRR sui flussi datati) e il TWR è quello vero. Vedi metodo-revisione.md.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</si>
</sst>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€#,##0;&quot;(€&quot;#,##0\);\-"/>
    <numFmt numFmtId="166" formatCode="0.0%;\(0.0%\);\-"/>
    <numFmt numFmtId="167" formatCode="0.00%;\(0.00%\);\-"/>
    <numFmt numFmtId="168" formatCode="0"/>
    <numFmt numFmtId="169" formatCode="yyyy\-mm\-dd"/>
    <numFmt numFmtId="170" formatCode="#,##0"/>
    <numFmt numFmtId="171" formatCode="0.0000"/>
    <numFmt numFmtId="172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9"/>
      <name val="Arial"/>
      <family val="0"/>
      <charset val="1"/>
    </font>
    <font>
      <sz val="10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4472C4"/>
        <bgColor rgb="FF666666"/>
      </patternFill>
    </fill>
    <fill>
      <patternFill patternType="solid">
        <fgColor rgb="FFE7E6E6"/>
        <bgColor rgb="FFE2EFDA"/>
      </patternFill>
    </fill>
    <fill>
      <patternFill patternType="solid">
        <fgColor rgb="FFD9E1F2"/>
        <bgColor rgb="FFE7E6E6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E7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4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3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13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3" width="44"/>
    <col collapsed="false" customWidth="true" hidden="false" outlineLevel="0" max="2" min="2" style="3" width="16"/>
    <col collapsed="false" customWidth="true" hidden="false" outlineLevel="0" max="3" min="3" style="3" width="13"/>
  </cols>
  <sheetData>
    <row r="1" customFormat="false" ht="17.25" hidden="false" customHeight="true" outlineLevel="0" collapsed="false">
      <c r="A1" s="4" t="s">
        <v>11</v>
      </c>
      <c r="B1" s="4"/>
      <c r="C1" s="4"/>
    </row>
    <row r="2" customFormat="false" ht="15" hidden="false" customHeight="true" outlineLevel="0" collapsed="false">
      <c r="A2" s="5" t="s">
        <v>12</v>
      </c>
      <c r="B2" s="5"/>
      <c r="C2" s="5"/>
    </row>
    <row r="4" customFormat="false" ht="15" hidden="false" customHeight="true" outlineLevel="0" collapsed="false">
      <c r="A4" s="6" t="s">
        <v>13</v>
      </c>
      <c r="B4" s="6" t="s">
        <v>14</v>
      </c>
      <c r="C4" s="6" t="s">
        <v>15</v>
      </c>
    </row>
    <row r="5" customFormat="false" ht="15" hidden="false" customHeight="true" outlineLevel="0" collapsed="false">
      <c r="A5" s="7" t="s">
        <v>16</v>
      </c>
      <c r="B5" s="7"/>
      <c r="C5" s="7"/>
    </row>
    <row r="6" customFormat="false" ht="15" hidden="false" customHeight="true" outlineLevel="0" collapsed="false">
      <c r="A6" s="8" t="s">
        <v>17</v>
      </c>
      <c r="B6" s="9" t="n">
        <v>40000</v>
      </c>
      <c r="C6" s="10" t="n">
        <f aca="false">IF($B$21&gt;0,B6/$B$21,0)</f>
        <v>0.625</v>
      </c>
    </row>
    <row r="7" customFormat="false" ht="15" hidden="false" customHeight="true" outlineLevel="0" collapsed="false">
      <c r="A7" s="8" t="s">
        <v>18</v>
      </c>
      <c r="B7" s="9" t="n">
        <v>8000</v>
      </c>
      <c r="C7" s="10" t="n">
        <f aca="false">IF($B$21&gt;0,B7/$B$21,0)</f>
        <v>0.125</v>
      </c>
    </row>
    <row r="8" customFormat="false" ht="15" hidden="false" customHeight="true" outlineLevel="0" collapsed="false">
      <c r="A8" s="8" t="s">
        <v>19</v>
      </c>
      <c r="B8" s="9" t="n">
        <v>10000</v>
      </c>
      <c r="C8" s="10" t="n">
        <f aca="false">IF($B$21&gt;0,B8/$B$21,0)</f>
        <v>0.15625</v>
      </c>
    </row>
    <row r="9" customFormat="false" ht="15" hidden="false" customHeight="true" outlineLevel="0" collapsed="false">
      <c r="A9" s="8" t="s">
        <v>20</v>
      </c>
      <c r="B9" s="9" t="n">
        <v>6000</v>
      </c>
      <c r="C9" s="10" t="n">
        <f aca="false">IF($B$21&gt;0,B9/$B$21,0)</f>
        <v>0.09375</v>
      </c>
    </row>
    <row r="10" customFormat="false" ht="15" hidden="false" customHeight="true" outlineLevel="0" collapsed="false">
      <c r="A10" s="8" t="s">
        <v>21</v>
      </c>
      <c r="B10" s="9" t="n">
        <v>0</v>
      </c>
      <c r="C10" s="10" t="n">
        <f aca="false">IF($B$21&gt;0,B10/$B$21,0)</f>
        <v>0</v>
      </c>
    </row>
    <row r="11" customFormat="false" ht="15" hidden="false" customHeight="true" outlineLevel="0" collapsed="false">
      <c r="A11" s="8" t="s">
        <v>22</v>
      </c>
      <c r="B11" s="9" t="n">
        <v>0</v>
      </c>
      <c r="C11" s="10" t="n">
        <f aca="false">IF($B$21&gt;0,B11/$B$21,0)</f>
        <v>0</v>
      </c>
    </row>
    <row r="12" customFormat="false" ht="15" hidden="false" customHeight="true" outlineLevel="0" collapsed="false">
      <c r="A12" s="8" t="s">
        <v>23</v>
      </c>
      <c r="B12" s="9" t="n">
        <v>0</v>
      </c>
      <c r="C12" s="10" t="n">
        <f aca="false">IF($B$21&gt;0,B12/$B$21,0)</f>
        <v>0</v>
      </c>
    </row>
    <row r="13" customFormat="false" ht="15" hidden="false" customHeight="true" outlineLevel="0" collapsed="false">
      <c r="A13" s="8" t="s">
        <v>24</v>
      </c>
      <c r="B13" s="9" t="n">
        <v>0</v>
      </c>
      <c r="C13" s="10" t="n">
        <f aca="false">IF($B$21&gt;0,B13/$B$21,0)</f>
        <v>0</v>
      </c>
    </row>
    <row r="14" customFormat="false" ht="15" hidden="false" customHeight="true" outlineLevel="0" collapsed="false">
      <c r="A14" s="11" t="s">
        <v>25</v>
      </c>
      <c r="B14" s="12" t="n">
        <f aca="false">SUM(B6:B13)</f>
        <v>64000</v>
      </c>
    </row>
    <row r="16" customFormat="false" ht="15" hidden="false" customHeight="true" outlineLevel="0" collapsed="false">
      <c r="A16" s="7" t="s">
        <v>26</v>
      </c>
      <c r="B16" s="7"/>
      <c r="C16" s="7"/>
    </row>
    <row r="17" customFormat="false" ht="15" hidden="false" customHeight="true" outlineLevel="0" collapsed="false">
      <c r="A17" s="8" t="s">
        <v>27</v>
      </c>
      <c r="B17" s="9" t="n">
        <v>0</v>
      </c>
    </row>
    <row r="18" customFormat="false" ht="15" hidden="false" customHeight="true" outlineLevel="0" collapsed="false">
      <c r="A18" s="8" t="s">
        <v>28</v>
      </c>
      <c r="B18" s="9" t="n">
        <v>0</v>
      </c>
    </row>
    <row r="19" customFormat="false" ht="15" hidden="false" customHeight="true" outlineLevel="0" collapsed="false">
      <c r="A19" s="11" t="s">
        <v>29</v>
      </c>
      <c r="B19" s="12" t="n">
        <f aca="false">SUM(B17:B18)</f>
        <v>0</v>
      </c>
    </row>
    <row r="21" customFormat="false" ht="17.25" hidden="false" customHeight="true" outlineLevel="0" collapsed="false">
      <c r="A21" s="1" t="s">
        <v>30</v>
      </c>
      <c r="B21" s="13" t="n">
        <f aca="false">B14-B19</f>
        <v>64000</v>
      </c>
    </row>
  </sheetData>
  <mergeCells count="4">
    <mergeCell ref="A1:C1"/>
    <mergeCell ref="A2:C2"/>
    <mergeCell ref="A5:C5"/>
    <mergeCell ref="A16:C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3" width="24"/>
    <col collapsed="false" customWidth="true" hidden="false" outlineLevel="0" max="2" min="2" style="3" width="14"/>
    <col collapsed="false" customWidth="true" hidden="false" outlineLevel="0" max="4" min="3" style="3" width="11"/>
    <col collapsed="false" customWidth="true" hidden="false" outlineLevel="0" max="5" min="5" style="3" width="34"/>
    <col collapsed="false" customWidth="true" hidden="false" outlineLevel="0" max="6" min="6" style="0" width="14"/>
  </cols>
  <sheetData>
    <row r="1" customFormat="false" ht="17.25" hidden="false" customHeight="true" outlineLevel="0" collapsed="false">
      <c r="A1" s="4" t="s">
        <v>31</v>
      </c>
      <c r="B1" s="4"/>
      <c r="C1" s="4"/>
      <c r="D1" s="4"/>
      <c r="E1" s="4"/>
    </row>
    <row r="2" customFormat="false" ht="15" hidden="false" customHeight="true" outlineLevel="0" collapsed="false">
      <c r="A2" s="5" t="s">
        <v>32</v>
      </c>
      <c r="B2" s="5"/>
      <c r="C2" s="5"/>
      <c r="D2" s="5"/>
      <c r="E2" s="5"/>
    </row>
    <row r="4" customFormat="false" ht="15" hidden="false" customHeight="true" outlineLevel="0" collapsed="false">
      <c r="A4" s="6" t="s">
        <v>33</v>
      </c>
      <c r="B4" s="6" t="s">
        <v>14</v>
      </c>
      <c r="C4" s="6" t="s">
        <v>34</v>
      </c>
      <c r="D4" s="6" t="s">
        <v>35</v>
      </c>
      <c r="E4" s="6" t="s">
        <v>36</v>
      </c>
      <c r="F4" s="6" t="s">
        <v>37</v>
      </c>
    </row>
    <row r="5" customFormat="false" ht="15" hidden="false" customHeight="true" outlineLevel="0" collapsed="false">
      <c r="A5" s="8" t="s">
        <v>38</v>
      </c>
      <c r="B5" s="9" t="n">
        <v>32000</v>
      </c>
      <c r="C5" s="10" t="n">
        <f aca="false">IF($B$10&gt;0,B5/$B$10,0)</f>
        <v>0.5</v>
      </c>
      <c r="D5" s="14" t="n">
        <v>0.55</v>
      </c>
      <c r="E5" s="15" t="str">
        <f aca="false">IF(ABS(C5-D5)&gt;F5,IF(C5&gt;D5,"Sovrappeso "&amp;FIXED((C5-D5)*100,1)&amp;"%"&amp;" — alleggerire","Sottopeso "&amp;FIXED((D5-C5)*100,1)&amp;"%"&amp;" — rafforzare"),"in banda")</f>
        <v>in banda</v>
      </c>
      <c r="F5" s="14" t="n">
        <f aca="false">MIN($B$12,0.25*D5)</f>
        <v>0.05</v>
      </c>
    </row>
    <row r="6" customFormat="false" ht="15" hidden="false" customHeight="true" outlineLevel="0" collapsed="false">
      <c r="A6" s="8" t="s">
        <v>39</v>
      </c>
      <c r="B6" s="9" t="n">
        <v>16000</v>
      </c>
      <c r="C6" s="10" t="n">
        <f aca="false">IF($B$10&gt;0,B6/$B$10,0)</f>
        <v>0.25</v>
      </c>
      <c r="D6" s="14" t="n">
        <v>0.25</v>
      </c>
      <c r="E6" s="15" t="str">
        <f aca="false">IF(ABS(C6-D6)&gt;F6,IF(C6&gt;D6,"Sovrappeso "&amp;FIXED((C6-D6)*100,1)&amp;"%"&amp;" — alleggerire","Sottopeso "&amp;FIXED((D6-C6)*100,1)&amp;"%"&amp;" — rafforzare"),"in banda")</f>
        <v>in banda</v>
      </c>
      <c r="F6" s="14" t="n">
        <f aca="false">MIN($B$12,0.25*D6)</f>
        <v>0.05</v>
      </c>
    </row>
    <row r="7" customFormat="false" ht="15" hidden="false" customHeight="true" outlineLevel="0" collapsed="false">
      <c r="A7" s="8" t="s">
        <v>40</v>
      </c>
      <c r="B7" s="9" t="n">
        <v>16000</v>
      </c>
      <c r="C7" s="10" t="n">
        <f aca="false">IF($B$10&gt;0,B7/$B$10,0)</f>
        <v>0.25</v>
      </c>
      <c r="D7" s="14" t="n">
        <v>0.15</v>
      </c>
      <c r="E7" s="15" t="str">
        <f aca="false">IF(ABS(C7-D7)&gt;F7,IF(C7&gt;D7,"Sovrappeso "&amp;FIXED((C7-D7)*100,1)&amp;"%"&amp;" — alleggerire","Sottopeso "&amp;FIXED((D7-C7)*100,1)&amp;"%"&amp;" — rafforzare"),"in banda")</f>
        <v>Sovrappeso 10,0% — alleggerire</v>
      </c>
      <c r="F7" s="14" t="n">
        <f aca="false">MIN($B$12,0.25*D7)</f>
        <v>0.0375</v>
      </c>
    </row>
    <row r="8" customFormat="false" ht="15" hidden="false" customHeight="true" outlineLevel="0" collapsed="false">
      <c r="A8" s="8" t="s">
        <v>41</v>
      </c>
      <c r="B8" s="9" t="n">
        <v>0</v>
      </c>
      <c r="C8" s="10" t="n">
        <f aca="false">IF($B$10&gt;0,B8/$B$10,0)</f>
        <v>0</v>
      </c>
      <c r="D8" s="14" t="n">
        <v>0</v>
      </c>
      <c r="E8" s="15" t="str">
        <f aca="false">IF(ABS(C8-D8)&gt;F8,IF(C8&gt;D8,"Sovrappeso "&amp;FIXED((C8-D8)*100,1)&amp;"%"&amp;" — alleggerire","Sottopeso "&amp;FIXED((D8-C8)*100,1)&amp;"%"&amp;" — rafforzare"),"in banda")</f>
        <v>in banda</v>
      </c>
      <c r="F8" s="14" t="n">
        <f aca="false">MIN($B$12,0.25*D8)</f>
        <v>0</v>
      </c>
    </row>
    <row r="9" customFormat="false" ht="15" hidden="false" customHeight="true" outlineLevel="0" collapsed="false">
      <c r="A9" s="8" t="s">
        <v>42</v>
      </c>
      <c r="B9" s="9" t="n">
        <v>0</v>
      </c>
      <c r="C9" s="10" t="n">
        <f aca="false">IF($B$10&gt;0,B9/$B$10,0)</f>
        <v>0</v>
      </c>
      <c r="D9" s="14" t="n">
        <v>0.05</v>
      </c>
      <c r="E9" s="15" t="str">
        <f aca="false">IF(ABS(C9-D9)&gt;F9,IF(C9&gt;D9,"Sovrappeso "&amp;FIXED((C9-D9)*100,1)&amp;"%"&amp;" — alleggerire","Sottopeso "&amp;FIXED((D9-C9)*100,1)&amp;"%"&amp;" — rafforzare"),"in banda")</f>
        <v>Sottopeso 5,0% — rafforzare</v>
      </c>
      <c r="F9" s="14" t="n">
        <f aca="false">MIN($B$12,0.25*D9)</f>
        <v>0.0125</v>
      </c>
    </row>
    <row r="10" customFormat="false" ht="15" hidden="false" customHeight="true" outlineLevel="0" collapsed="false">
      <c r="A10" s="11" t="s">
        <v>43</v>
      </c>
      <c r="B10" s="12" t="n">
        <f aca="false">SUM(B5:B9)</f>
        <v>64000</v>
      </c>
      <c r="D10" s="16" t="n">
        <f aca="false">SUM(D5:D9)</f>
        <v>1</v>
      </c>
    </row>
    <row r="12" customFormat="false" ht="15" hidden="false" customHeight="true" outlineLevel="0" collapsed="false">
      <c r="A12" s="8" t="s">
        <v>44</v>
      </c>
      <c r="B12" s="14" t="n">
        <v>0.05</v>
      </c>
      <c r="C12" s="5" t="s">
        <v>45</v>
      </c>
      <c r="D12" s="5"/>
      <c r="E12" s="5"/>
    </row>
    <row r="14" customFormat="false" ht="15" hidden="false" customHeight="true" outlineLevel="0" collapsed="false">
      <c r="A14" s="17" t="s">
        <v>46</v>
      </c>
      <c r="B14" s="17"/>
      <c r="C14" s="17"/>
      <c r="D14" s="17"/>
      <c r="E14" s="17"/>
    </row>
    <row r="15" customFormat="false" ht="15" hidden="false" customHeight="true" outlineLevel="0" collapsed="false">
      <c r="A15" s="17" t="s">
        <v>47</v>
      </c>
      <c r="B15" s="17"/>
      <c r="C15" s="17"/>
      <c r="D15" s="17"/>
      <c r="E15" s="17"/>
    </row>
    <row r="16" customFormat="false" ht="15" hidden="false" customHeight="true" outlineLevel="0" collapsed="false">
      <c r="A16" s="17" t="s">
        <v>48</v>
      </c>
      <c r="B16" s="17"/>
      <c r="C16" s="17"/>
      <c r="D16" s="17"/>
      <c r="E16" s="17"/>
    </row>
  </sheetData>
  <mergeCells count="6">
    <mergeCell ref="A1:E1"/>
    <mergeCell ref="A2:E2"/>
    <mergeCell ref="C12:E12"/>
    <mergeCell ref="A14:E14"/>
    <mergeCell ref="A15:E15"/>
    <mergeCell ref="A16:E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3" width="34"/>
    <col collapsed="false" customWidth="true" hidden="false" outlineLevel="0" max="2" min="2" style="3" width="15"/>
    <col collapsed="false" customWidth="true" hidden="false" outlineLevel="0" max="3" min="3" style="3" width="46"/>
  </cols>
  <sheetData>
    <row r="1" customFormat="false" ht="17.25" hidden="false" customHeight="true" outlineLevel="0" collapsed="false">
      <c r="A1" s="4" t="s">
        <v>49</v>
      </c>
      <c r="B1" s="4"/>
      <c r="C1" s="4"/>
    </row>
    <row r="2" customFormat="false" ht="15" hidden="false" customHeight="true" outlineLevel="0" collapsed="false">
      <c r="A2" s="5" t="s">
        <v>50</v>
      </c>
      <c r="B2" s="5"/>
      <c r="C2" s="5"/>
    </row>
    <row r="4" customFormat="false" ht="15" hidden="false" customHeight="true" outlineLevel="0" collapsed="false">
      <c r="A4" s="8" t="s">
        <v>51</v>
      </c>
      <c r="B4" s="9" t="n">
        <v>70000</v>
      </c>
      <c r="C4" s="2" t="s">
        <v>52</v>
      </c>
    </row>
    <row r="5" customFormat="false" ht="15" hidden="false" customHeight="true" outlineLevel="0" collapsed="false">
      <c r="A5" s="8" t="s">
        <v>53</v>
      </c>
      <c r="B5" s="9" t="n">
        <v>88000</v>
      </c>
      <c r="C5" s="2" t="s">
        <v>54</v>
      </c>
    </row>
    <row r="6" customFormat="false" ht="15" hidden="false" customHeight="true" outlineLevel="0" collapsed="false">
      <c r="A6" s="8" t="s">
        <v>55</v>
      </c>
      <c r="B6" s="9" t="n">
        <v>9000</v>
      </c>
      <c r="C6" s="2" t="s">
        <v>56</v>
      </c>
    </row>
    <row r="8" customFormat="false" ht="15" hidden="false" customHeight="true" outlineLevel="0" collapsed="false">
      <c r="A8" s="11" t="s">
        <v>57</v>
      </c>
      <c r="B8" s="18" t="n">
        <f aca="false">B5-B4</f>
        <v>18000</v>
      </c>
    </row>
    <row r="9" customFormat="false" ht="15" hidden="false" customHeight="true" outlineLevel="0" collapsed="false">
      <c r="A9" s="11" t="s">
        <v>58</v>
      </c>
      <c r="B9" s="19" t="n">
        <f aca="false">B8-B6</f>
        <v>9000</v>
      </c>
      <c r="C9" s="2" t="s">
        <v>59</v>
      </c>
    </row>
    <row r="10" customFormat="false" ht="15" hidden="false" customHeight="true" outlineLevel="0" collapsed="false">
      <c r="A10" s="8" t="s">
        <v>60</v>
      </c>
      <c r="B10" s="20" t="n">
        <f aca="false">B6</f>
        <v>9000</v>
      </c>
      <c r="C10" s="2" t="s">
        <v>61</v>
      </c>
    </row>
    <row r="12" customFormat="false" ht="15" hidden="false" customHeight="true" outlineLevel="0" collapsed="false">
      <c r="A12" s="8" t="s">
        <v>62</v>
      </c>
      <c r="B12" s="20" t="n">
        <f aca="false">B4+B6/2</f>
        <v>74500</v>
      </c>
      <c r="C12" s="2" t="s">
        <v>63</v>
      </c>
    </row>
    <row r="13" customFormat="false" ht="15" hidden="false" customHeight="true" outlineLevel="0" collapsed="false">
      <c r="A13" s="11" t="s">
        <v>64</v>
      </c>
      <c r="B13" s="21" t="n">
        <f aca="false">IF(B12&gt;0,B9/B12,0)</f>
        <v>0.120805369127517</v>
      </c>
      <c r="C13" s="2" t="s">
        <v>65</v>
      </c>
    </row>
    <row r="14" customFormat="false" ht="15" hidden="false" customHeight="true" outlineLevel="0" collapsed="false">
      <c r="A14" s="8" t="s">
        <v>66</v>
      </c>
      <c r="B14" s="22" t="n">
        <v>0.02</v>
      </c>
    </row>
    <row r="15" customFormat="false" ht="15" hidden="false" customHeight="true" outlineLevel="0" collapsed="false">
      <c r="A15" s="11" t="s">
        <v>67</v>
      </c>
      <c r="B15" s="23" t="n">
        <f aca="false">(1+B13)/(1+B14)-1</f>
        <v>0.0988287932622713</v>
      </c>
      <c r="C15" s="2" t="s">
        <v>68</v>
      </c>
    </row>
    <row r="17" customFormat="false" ht="15" hidden="false" customHeight="true" outlineLevel="0" collapsed="false">
      <c r="A17" s="17" t="s">
        <v>69</v>
      </c>
      <c r="B17" s="17"/>
      <c r="C17" s="17"/>
    </row>
    <row r="18" customFormat="false" ht="15" hidden="false" customHeight="true" outlineLevel="0" collapsed="false">
      <c r="A18" s="17" t="s">
        <v>70</v>
      </c>
      <c r="B18" s="17"/>
      <c r="C18" s="17"/>
    </row>
    <row r="19" customFormat="false" ht="15" hidden="false" customHeight="true" outlineLevel="0" collapsed="false">
      <c r="A19" s="17" t="s">
        <v>71</v>
      </c>
      <c r="B19" s="17"/>
      <c r="C19" s="17"/>
    </row>
    <row r="20" customFormat="false" ht="15" hidden="false" customHeight="true" outlineLevel="0" collapsed="false">
      <c r="A20" s="17" t="s">
        <v>72</v>
      </c>
      <c r="B20" s="17"/>
      <c r="C20" s="17"/>
    </row>
    <row r="21" customFormat="false" ht="15" hidden="false" customHeight="true" outlineLevel="0" collapsed="false">
      <c r="A21" s="17" t="s">
        <v>73</v>
      </c>
      <c r="B21" s="17"/>
      <c r="C21" s="17"/>
    </row>
    <row r="22" customFormat="false" ht="15" hidden="false" customHeight="true" outlineLevel="0" collapsed="false">
      <c r="A22" s="17" t="s">
        <v>74</v>
      </c>
      <c r="B22" s="17"/>
      <c r="C22" s="17"/>
    </row>
    <row r="24" customFormat="false" ht="15" hidden="false" customHeight="false" outlineLevel="0" collapsed="false">
      <c r="A24" s="24" t="s">
        <v>75</v>
      </c>
    </row>
    <row r="25" customFormat="false" ht="15" hidden="false" customHeight="false" outlineLevel="0" collapsed="false">
      <c r="A25" s="11" t="s">
        <v>76</v>
      </c>
      <c r="B25" s="18" t="n">
        <f aca="false">B5*0.002</f>
        <v>176</v>
      </c>
      <c r="C25" s="2" t="s">
        <v>77</v>
      </c>
    </row>
    <row r="26" customFormat="false" ht="15" hidden="false" customHeight="false" outlineLevel="0" collapsed="false">
      <c r="A26" s="11" t="s">
        <v>78</v>
      </c>
      <c r="B26" s="9" t="n">
        <v>0</v>
      </c>
      <c r="C26" s="2" t="s">
        <v>79</v>
      </c>
    </row>
    <row r="27" customFormat="false" ht="15" hidden="false" customHeight="false" outlineLevel="0" collapsed="false">
      <c r="A27" s="11" t="s">
        <v>80</v>
      </c>
      <c r="B27" s="18" t="n">
        <f aca="false">B25+B26</f>
        <v>176</v>
      </c>
    </row>
    <row r="28" customFormat="false" ht="15" hidden="false" customHeight="false" outlineLevel="0" collapsed="false">
      <c r="A28" s="11" t="s">
        <v>81</v>
      </c>
      <c r="B28" s="21" t="n">
        <f aca="false">IF(B12&gt;0,B27/B12,0)</f>
        <v>0.00236241610738255</v>
      </c>
      <c r="C28" s="2" t="s">
        <v>82</v>
      </c>
    </row>
    <row r="29" customFormat="false" ht="15" hidden="false" customHeight="false" outlineLevel="0" collapsed="false">
      <c r="A29" s="11" t="s">
        <v>83</v>
      </c>
      <c r="B29" s="22" t="n">
        <v>0.002</v>
      </c>
      <c r="C29" s="2" t="s">
        <v>84</v>
      </c>
    </row>
    <row r="30" customFormat="false" ht="15" hidden="false" customHeight="false" outlineLevel="0" collapsed="false">
      <c r="A30" s="11" t="s">
        <v>85</v>
      </c>
      <c r="B30" s="22"/>
      <c r="C30" s="2" t="s">
        <v>86</v>
      </c>
    </row>
    <row r="32" customFormat="false" ht="15" hidden="false" customHeight="false" outlineLevel="0" collapsed="false">
      <c r="A32" s="24" t="s">
        <v>87</v>
      </c>
    </row>
    <row r="33" customFormat="false" ht="15" hidden="false" customHeight="false" outlineLevel="0" collapsed="false">
      <c r="A33" s="24" t="s">
        <v>88</v>
      </c>
    </row>
  </sheetData>
  <mergeCells count="8">
    <mergeCell ref="A1:C1"/>
    <mergeCell ref="A2:C2"/>
    <mergeCell ref="A17:C17"/>
    <mergeCell ref="A18:C18"/>
    <mergeCell ref="A19:C19"/>
    <mergeCell ref="A20:C20"/>
    <mergeCell ref="A21:C21"/>
    <mergeCell ref="A22:C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3" width="30"/>
    <col collapsed="false" customWidth="true" hidden="false" outlineLevel="0" max="2" min="2" style="3" width="15"/>
    <col collapsed="false" customWidth="true" hidden="false" outlineLevel="0" max="3" min="3" style="3" width="12"/>
    <col collapsed="false" customWidth="true" hidden="false" outlineLevel="0" max="4" min="4" style="3" width="13"/>
    <col collapsed="false" customWidth="true" hidden="false" outlineLevel="0" max="5" min="5" style="3" width="17"/>
    <col collapsed="false" customWidth="true" hidden="false" outlineLevel="0" max="6" min="6" style="3" width="14"/>
    <col collapsed="false" customWidth="true" hidden="false" outlineLevel="0" max="7" min="7" style="0" width="14"/>
    <col collapsed="false" customWidth="true" hidden="false" outlineLevel="0" max="8" min="8" style="0" width="10"/>
  </cols>
  <sheetData>
    <row r="1" customFormat="false" ht="17.25" hidden="false" customHeight="true" outlineLevel="0" collapsed="false">
      <c r="A1" s="4" t="s">
        <v>89</v>
      </c>
      <c r="B1" s="4"/>
      <c r="C1" s="4"/>
      <c r="D1" s="4"/>
      <c r="E1" s="4"/>
      <c r="F1" s="4"/>
    </row>
    <row r="2" customFormat="false" ht="15" hidden="false" customHeight="true" outlineLevel="0" collapsed="false">
      <c r="A2" s="5" t="s">
        <v>90</v>
      </c>
      <c r="B2" s="5"/>
      <c r="C2" s="5"/>
      <c r="D2" s="5"/>
      <c r="E2" s="5"/>
      <c r="F2" s="5"/>
    </row>
    <row r="4" customFormat="false" ht="15" hidden="false" customHeight="true" outlineLevel="0" collapsed="false">
      <c r="A4" s="7" t="s">
        <v>91</v>
      </c>
      <c r="B4" s="7"/>
      <c r="C4" s="7"/>
      <c r="D4" s="7"/>
      <c r="E4" s="7"/>
      <c r="F4" s="7"/>
    </row>
    <row r="5" customFormat="false" ht="15" hidden="false" customHeight="true" outlineLevel="0" collapsed="false">
      <c r="A5" s="6" t="s">
        <v>92</v>
      </c>
      <c r="B5" s="6" t="s">
        <v>93</v>
      </c>
      <c r="C5" s="6" t="s">
        <v>94</v>
      </c>
      <c r="D5" s="6" t="s">
        <v>95</v>
      </c>
      <c r="E5" s="6" t="s">
        <v>96</v>
      </c>
      <c r="F5" s="6" t="s">
        <v>97</v>
      </c>
      <c r="G5" s="6" t="s">
        <v>98</v>
      </c>
      <c r="H5" s="6" t="s">
        <v>99</v>
      </c>
    </row>
    <row r="6" customFormat="false" ht="15" hidden="false" customHeight="true" outlineLevel="0" collapsed="false">
      <c r="A6" s="25" t="s">
        <v>100</v>
      </c>
      <c r="B6" s="9" t="n">
        <v>8500</v>
      </c>
      <c r="C6" s="9" t="n">
        <v>12000</v>
      </c>
      <c r="D6" s="10" t="n">
        <f aca="false">IF(C6&gt;0,B6/C6,0)</f>
        <v>0.708333333333333</v>
      </c>
      <c r="E6" s="14" t="n">
        <v>0.85</v>
      </c>
      <c r="F6" s="26" t="str">
        <f aca="false">IF(C6=0,"",IF(H6="","",IF(E6&gt;=H6,"On track",IF(E6&gt;=H6-0.15,"Da monitorare","A rischio"))))</f>
        <v>On track</v>
      </c>
      <c r="G6" s="25" t="s">
        <v>101</v>
      </c>
      <c r="H6" s="14" t="n">
        <f aca="false">IF(G6="essenziale",0.85,IF(G6="importante",0.75,IF(G6="desiderabile",0.6,"")))</f>
        <v>0.85</v>
      </c>
    </row>
    <row r="7" customFormat="false" ht="15" hidden="false" customHeight="true" outlineLevel="0" collapsed="false">
      <c r="A7" s="25" t="s">
        <v>102</v>
      </c>
      <c r="B7" s="9" t="n">
        <v>50000</v>
      </c>
      <c r="C7" s="9" t="n">
        <v>80000</v>
      </c>
      <c r="D7" s="10" t="n">
        <f aca="false">IF(C7&gt;0,B7/C7,0)</f>
        <v>0.625</v>
      </c>
      <c r="E7" s="14" t="n">
        <v>0.54</v>
      </c>
      <c r="F7" s="26" t="str">
        <f aca="false">IF(C7=0,"",IF(H7="","",IF(E7&gt;=H7,"On track",IF(E7&gt;=H7-0.15,"Da monitorare","A rischio"))))</f>
        <v>A rischio</v>
      </c>
      <c r="G7" s="25" t="s">
        <v>103</v>
      </c>
      <c r="H7" s="14" t="n">
        <f aca="false">IF(G7="essenziale",0.85,IF(G7="importante",0.75,IF(G7="desiderabile",0.6,"")))</f>
        <v>0.75</v>
      </c>
    </row>
    <row r="8" customFormat="false" ht="15" hidden="false" customHeight="true" outlineLevel="0" collapsed="false">
      <c r="A8" s="25"/>
      <c r="B8" s="9" t="n">
        <v>0</v>
      </c>
      <c r="C8" s="9" t="n">
        <v>0</v>
      </c>
      <c r="D8" s="10" t="n">
        <f aca="false">IF(C8&gt;0,B8/C8,0)</f>
        <v>0</v>
      </c>
      <c r="E8" s="14" t="n">
        <v>0</v>
      </c>
      <c r="F8" s="26" t="str">
        <f aca="false">IF(C8=0,"",IF(H8="","",IF(E8&gt;=H8,"On track",IF(E8&gt;=H8-0.15,"Da monitorare","A rischio"))))</f>
        <v/>
      </c>
      <c r="G8" s="25"/>
      <c r="H8" s="14" t="str">
        <f aca="false">IF(G8="essenziale",0.85,IF(G8="importante",0.75,IF(G8="desiderabile",0.6,"")))</f>
        <v/>
      </c>
    </row>
    <row r="9" customFormat="false" ht="15" hidden="false" customHeight="true" outlineLevel="0" collapsed="false">
      <c r="A9" s="25"/>
      <c r="B9" s="9" t="n">
        <v>0</v>
      </c>
      <c r="C9" s="9" t="n">
        <v>0</v>
      </c>
      <c r="D9" s="10" t="n">
        <f aca="false">IF(C9&gt;0,B9/C9,0)</f>
        <v>0</v>
      </c>
      <c r="E9" s="14" t="n">
        <v>0</v>
      </c>
      <c r="F9" s="26" t="str">
        <f aca="false">IF(C9=0,"",IF(H9="","",IF(E9&gt;=H9,"On track",IF(E9&gt;=H9-0.15,"Da monitorare","A rischio"))))</f>
        <v/>
      </c>
      <c r="G9" s="25"/>
      <c r="H9" s="14" t="str">
        <f aca="false">IF(G9="essenziale",0.85,IF(G9="importante",0.75,IF(G9="desiderabile",0.6,"")))</f>
        <v/>
      </c>
    </row>
    <row r="11" customFormat="false" ht="15" hidden="false" customHeight="true" outlineLevel="0" collapsed="false">
      <c r="A11" s="7" t="s">
        <v>104</v>
      </c>
      <c r="B11" s="7"/>
      <c r="C11" s="7"/>
      <c r="D11" s="7"/>
      <c r="E11" s="7"/>
      <c r="F11" s="7"/>
    </row>
    <row r="12" customFormat="false" ht="15" hidden="false" customHeight="true" outlineLevel="0" collapsed="false">
      <c r="A12" s="8" t="s">
        <v>105</v>
      </c>
      <c r="B12" s="14" t="n">
        <v>0.55</v>
      </c>
      <c r="C12" s="5" t="s">
        <v>106</v>
      </c>
      <c r="D12" s="5"/>
      <c r="E12" s="5"/>
      <c r="F12" s="5"/>
    </row>
    <row r="13" customFormat="false" ht="15" hidden="false" customHeight="true" outlineLevel="0" collapsed="false">
      <c r="A13" s="8" t="s">
        <v>107</v>
      </c>
      <c r="B13" s="14" t="n">
        <v>0.7</v>
      </c>
      <c r="C13" s="5" t="s">
        <v>108</v>
      </c>
      <c r="D13" s="5"/>
      <c r="E13" s="5"/>
      <c r="F13" s="5"/>
    </row>
    <row r="14" customFormat="false" ht="15" hidden="false" customHeight="true" outlineLevel="0" collapsed="false">
      <c r="A14" s="8" t="s">
        <v>109</v>
      </c>
      <c r="B14" s="27" t="n">
        <f aca="false">MAX(0,B13-B12)</f>
        <v>0.15</v>
      </c>
      <c r="C14" s="5" t="s">
        <v>110</v>
      </c>
      <c r="D14" s="5"/>
      <c r="E14" s="5"/>
      <c r="F14" s="5"/>
    </row>
    <row r="16" customFormat="false" ht="15" hidden="false" customHeight="true" outlineLevel="0" collapsed="false">
      <c r="A16" s="17" t="s">
        <v>111</v>
      </c>
      <c r="B16" s="17"/>
      <c r="C16" s="17"/>
      <c r="D16" s="17"/>
      <c r="E16" s="17"/>
      <c r="F16" s="17"/>
    </row>
    <row r="17" customFormat="false" ht="15" hidden="false" customHeight="true" outlineLevel="0" collapsed="false">
      <c r="A17" s="17" t="s">
        <v>112</v>
      </c>
      <c r="B17" s="17"/>
      <c r="C17" s="17"/>
      <c r="D17" s="17"/>
      <c r="E17" s="17"/>
      <c r="F17" s="17"/>
    </row>
    <row r="18" customFormat="false" ht="15" hidden="false" customHeight="true" outlineLevel="0" collapsed="false">
      <c r="A18" s="17" t="s">
        <v>113</v>
      </c>
      <c r="B18" s="17"/>
      <c r="C18" s="17"/>
      <c r="D18" s="17"/>
      <c r="E18" s="17"/>
      <c r="F18" s="17"/>
    </row>
    <row r="19" customFormat="false" ht="15" hidden="false" customHeight="true" outlineLevel="0" collapsed="false">
      <c r="A19" s="17" t="s">
        <v>114</v>
      </c>
      <c r="B19" s="17"/>
      <c r="C19" s="17"/>
      <c r="D19" s="17"/>
      <c r="E19" s="17"/>
      <c r="F19" s="17"/>
    </row>
    <row r="21" customFormat="false" ht="15" hidden="false" customHeight="false" outlineLevel="0" collapsed="false">
      <c r="A21" s="24" t="s">
        <v>115</v>
      </c>
    </row>
  </sheetData>
  <mergeCells count="11">
    <mergeCell ref="A1:F1"/>
    <mergeCell ref="A2:F2"/>
    <mergeCell ref="A4:F4"/>
    <mergeCell ref="A11:F11"/>
    <mergeCell ref="C12:F12"/>
    <mergeCell ref="C13:F13"/>
    <mergeCell ref="C14:F14"/>
    <mergeCell ref="A16:F16"/>
    <mergeCell ref="A17:F17"/>
    <mergeCell ref="A18:F18"/>
    <mergeCell ref="A19:F19"/>
  </mergeCells>
  <dataValidations count="1">
    <dataValidation allowBlank="true" errorStyle="stop" operator="between" showDropDown="false" showErrorMessage="false" showInputMessage="false" sqref="G6:G9" type="list">
      <formula1>"essenziale,importante,desiderabile"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3" width="52"/>
    <col collapsed="false" customWidth="true" hidden="false" outlineLevel="0" max="2" min="2" style="3" width="16"/>
    <col collapsed="false" customWidth="true" hidden="false" outlineLevel="0" max="3" min="3" style="3" width="17"/>
    <col collapsed="false" customWidth="true" hidden="false" outlineLevel="0" max="4" min="4" style="3" width="18"/>
    <col collapsed="false" customWidth="true" hidden="false" outlineLevel="0" max="5" min="5" style="3" width="12"/>
    <col collapsed="false" customWidth="true" hidden="false" outlineLevel="0" max="6" min="6" style="3" width="30"/>
  </cols>
  <sheetData>
    <row r="1" customFormat="false" ht="17.25" hidden="false" customHeight="true" outlineLevel="0" collapsed="false">
      <c r="A1" s="4" t="s">
        <v>116</v>
      </c>
      <c r="B1" s="4"/>
      <c r="C1" s="4"/>
      <c r="D1" s="4"/>
      <c r="E1" s="4"/>
      <c r="F1" s="4"/>
    </row>
    <row r="2" customFormat="false" ht="15" hidden="false" customHeight="true" outlineLevel="0" collapsed="false">
      <c r="A2" s="5" t="s">
        <v>117</v>
      </c>
      <c r="B2" s="5"/>
      <c r="C2" s="5"/>
      <c r="D2" s="5"/>
      <c r="E2" s="5"/>
      <c r="F2" s="5"/>
    </row>
    <row r="4" customFormat="false" ht="15" hidden="false" customHeight="true" outlineLevel="0" collapsed="false">
      <c r="A4" s="6" t="s">
        <v>118</v>
      </c>
      <c r="B4" s="6" t="s">
        <v>119</v>
      </c>
      <c r="C4" s="6" t="s">
        <v>98</v>
      </c>
      <c r="D4" s="6" t="s">
        <v>120</v>
      </c>
      <c r="E4" s="6" t="s">
        <v>97</v>
      </c>
      <c r="F4" s="6" t="s">
        <v>121</v>
      </c>
    </row>
    <row r="5" customFormat="false" ht="23.25" hidden="false" customHeight="true" outlineLevel="0" collapsed="false">
      <c r="A5" s="28" t="s">
        <v>122</v>
      </c>
      <c r="B5" s="29" t="s">
        <v>123</v>
      </c>
      <c r="C5" s="29" t="s">
        <v>120</v>
      </c>
      <c r="D5" s="29" t="s">
        <v>124</v>
      </c>
      <c r="E5" s="29" t="s">
        <v>125</v>
      </c>
      <c r="F5" s="28" t="s">
        <v>126</v>
      </c>
    </row>
    <row r="6" customFormat="false" ht="23.25" hidden="false" customHeight="true" outlineLevel="0" collapsed="false">
      <c r="A6" s="28" t="s">
        <v>127</v>
      </c>
      <c r="B6" s="29" t="s">
        <v>128</v>
      </c>
      <c r="C6" s="29" t="s">
        <v>129</v>
      </c>
      <c r="D6" s="29" t="s">
        <v>124</v>
      </c>
      <c r="E6" s="29" t="s">
        <v>125</v>
      </c>
      <c r="F6" s="28" t="s">
        <v>130</v>
      </c>
    </row>
    <row r="7" customFormat="false" ht="23.25" hidden="false" customHeight="true" outlineLevel="0" collapsed="false">
      <c r="A7" s="28" t="s">
        <v>131</v>
      </c>
      <c r="B7" s="29" t="s">
        <v>132</v>
      </c>
      <c r="C7" s="29" t="s">
        <v>133</v>
      </c>
      <c r="D7" s="29" t="s">
        <v>134</v>
      </c>
      <c r="E7" s="29" t="s">
        <v>125</v>
      </c>
      <c r="F7" s="28" t="s">
        <v>135</v>
      </c>
    </row>
    <row r="8" customFormat="false" ht="15" hidden="false" customHeight="true" outlineLevel="0" collapsed="false">
      <c r="A8" s="28" t="s">
        <v>136</v>
      </c>
      <c r="B8" s="29" t="s">
        <v>137</v>
      </c>
      <c r="C8" s="29" t="s">
        <v>138</v>
      </c>
      <c r="D8" s="29" t="s">
        <v>139</v>
      </c>
      <c r="E8" s="29" t="s">
        <v>125</v>
      </c>
      <c r="F8" s="28" t="s">
        <v>140</v>
      </c>
    </row>
    <row r="9" customFormat="false" ht="15" hidden="false" customHeight="true" outlineLevel="0" collapsed="false">
      <c r="A9" s="28" t="s">
        <v>141</v>
      </c>
      <c r="B9" s="29" t="s">
        <v>128</v>
      </c>
      <c r="C9" s="29" t="s">
        <v>133</v>
      </c>
      <c r="D9" s="29" t="s">
        <v>142</v>
      </c>
      <c r="E9" s="29" t="s">
        <v>125</v>
      </c>
      <c r="F9" s="28" t="s">
        <v>143</v>
      </c>
    </row>
    <row r="10" customFormat="false" ht="15" hidden="false" customHeight="true" outlineLevel="0" collapsed="false">
      <c r="A10" s="30"/>
      <c r="B10" s="31"/>
      <c r="C10" s="31"/>
      <c r="D10" s="31"/>
      <c r="E10" s="31"/>
      <c r="F10" s="30"/>
    </row>
    <row r="12" customFormat="false" ht="15" hidden="false" customHeight="true" outlineLevel="0" collapsed="false">
      <c r="A12" s="32" t="s">
        <v>144</v>
      </c>
      <c r="B12" s="32"/>
      <c r="C12" s="32"/>
      <c r="D12" s="32"/>
      <c r="E12" s="32"/>
      <c r="F12" s="32"/>
    </row>
    <row r="13" customFormat="false" ht="15" hidden="false" customHeight="true" outlineLevel="0" collapsed="false">
      <c r="A13" s="17" t="s">
        <v>145</v>
      </c>
      <c r="B13" s="17"/>
      <c r="C13" s="17"/>
      <c r="D13" s="17"/>
      <c r="E13" s="17"/>
      <c r="F13" s="17"/>
    </row>
    <row r="14" customFormat="false" ht="15" hidden="false" customHeight="true" outlineLevel="0" collapsed="false">
      <c r="A14" s="17" t="s">
        <v>146</v>
      </c>
      <c r="B14" s="17"/>
      <c r="C14" s="17"/>
      <c r="D14" s="17"/>
      <c r="E14" s="17"/>
      <c r="F14" s="17"/>
    </row>
    <row r="15" customFormat="false" ht="15" hidden="false" customHeight="true" outlineLevel="0" collapsed="false">
      <c r="A15" s="17" t="s">
        <v>147</v>
      </c>
      <c r="B15" s="17"/>
      <c r="C15" s="17"/>
      <c r="D15" s="17"/>
      <c r="E15" s="17"/>
      <c r="F15" s="17"/>
    </row>
  </sheetData>
  <mergeCells count="6">
    <mergeCell ref="A1:F1"/>
    <mergeCell ref="A2:F2"/>
    <mergeCell ref="A12:F12"/>
    <mergeCell ref="A13:F13"/>
    <mergeCell ref="A14:F14"/>
    <mergeCell ref="A15:F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3" width="14"/>
    <col collapsed="false" customWidth="true" hidden="false" outlineLevel="0" max="2" min="2" style="3" width="18"/>
    <col collapsed="false" customWidth="true" hidden="false" outlineLevel="0" max="3" min="3" style="3" width="17"/>
    <col collapsed="false" customWidth="true" hidden="false" outlineLevel="0" max="4" min="4" style="3" width="18"/>
    <col collapsed="false" customWidth="true" hidden="false" outlineLevel="0" max="5" min="5" style="3" width="16"/>
    <col collapsed="false" customWidth="true" hidden="false" outlineLevel="0" max="6" min="6" style="3" width="17"/>
    <col collapsed="false" customWidth="true" hidden="false" outlineLevel="0" max="7" min="7" style="0" width="3"/>
    <col collapsed="false" customWidth="true" hidden="false" outlineLevel="0" max="8" min="8" style="0" width="28"/>
    <col collapsed="false" customWidth="true" hidden="false" outlineLevel="0" max="9" min="9" style="0" width="14"/>
    <col collapsed="false" customWidth="true" hidden="false" outlineLevel="0" max="10" min="10" style="0" width="70"/>
  </cols>
  <sheetData>
    <row r="1" customFormat="false" ht="17.25" hidden="false" customHeight="true" outlineLevel="0" collapsed="false">
      <c r="A1" s="4" t="s">
        <v>148</v>
      </c>
      <c r="B1" s="4"/>
      <c r="C1" s="4"/>
      <c r="D1" s="4"/>
      <c r="E1" s="4"/>
      <c r="F1" s="4"/>
    </row>
    <row r="2" customFormat="false" ht="15" hidden="false" customHeight="true" outlineLevel="0" collapsed="false">
      <c r="A2" s="5" t="s">
        <v>149</v>
      </c>
      <c r="B2" s="5"/>
      <c r="C2" s="5"/>
      <c r="D2" s="5"/>
      <c r="E2" s="5"/>
      <c r="F2" s="5"/>
    </row>
    <row r="3" customFormat="false" ht="15" hidden="false" customHeight="true" outlineLevel="0" collapsed="false">
      <c r="A3" s="5"/>
      <c r="B3" s="5"/>
      <c r="C3" s="5"/>
      <c r="D3" s="5"/>
      <c r="E3" s="5"/>
      <c r="F3" s="5"/>
    </row>
    <row r="4" customFormat="false" ht="15" hidden="false" customHeight="false" outlineLevel="0" collapsed="false">
      <c r="H4" s="33" t="s">
        <v>150</v>
      </c>
    </row>
    <row r="5" customFormat="false" ht="15" hidden="false" customHeight="true" outlineLevel="0" collapsed="false">
      <c r="A5" s="6" t="s">
        <v>151</v>
      </c>
      <c r="B5" s="6" t="s">
        <v>152</v>
      </c>
      <c r="C5" s="6" t="s">
        <v>153</v>
      </c>
      <c r="D5" s="6" t="s">
        <v>154</v>
      </c>
      <c r="E5" s="6" t="s">
        <v>155</v>
      </c>
      <c r="F5" s="6" t="s">
        <v>156</v>
      </c>
      <c r="H5" s="33" t="s">
        <v>157</v>
      </c>
      <c r="I5" s="34" t="n">
        <f aca="false">COUNT(B6:B125)</f>
        <v>13</v>
      </c>
      <c r="J5" s="2" t="s">
        <v>158</v>
      </c>
    </row>
    <row r="6" customFormat="false" ht="15" hidden="false" customHeight="true" outlineLevel="0" collapsed="false">
      <c r="A6" s="35" t="n">
        <v>45658</v>
      </c>
      <c r="B6" s="36" t="n">
        <v>70000</v>
      </c>
      <c r="C6" s="36" t="n">
        <v>70000</v>
      </c>
      <c r="D6" s="37" t="s">
        <v>134</v>
      </c>
      <c r="E6" s="38" t="n">
        <f aca="false">IF(B6="","",1)</f>
        <v>1</v>
      </c>
      <c r="F6" s="39" t="n">
        <f aca="false">IF(B6="","",-C6+IF(ROW()-5=$I$5,B6,0))</f>
        <v>-70000</v>
      </c>
      <c r="H6" s="33" t="s">
        <v>159</v>
      </c>
      <c r="I6" s="40" t="n">
        <f aca="false">IF(I5&lt;2,"",INDEX(E6:E125,I5)-1)</f>
        <v>0.116332049321525</v>
      </c>
      <c r="J6" s="2" t="s">
        <v>160</v>
      </c>
    </row>
    <row r="7" customFormat="false" ht="15" hidden="false" customHeight="true" outlineLevel="0" collapsed="false">
      <c r="A7" s="35" t="n">
        <v>45689</v>
      </c>
      <c r="B7" s="36" t="n">
        <v>71200</v>
      </c>
      <c r="C7" s="36" t="n">
        <v>750</v>
      </c>
      <c r="D7" s="41" t="n">
        <f aca="false">IF(B7="","",(B7-C7)/B6-1)</f>
        <v>0.00642857142857145</v>
      </c>
      <c r="E7" s="38" t="n">
        <f aca="false">IF(B7="","",E6*(1+D7))</f>
        <v>1.00642857142857</v>
      </c>
      <c r="F7" s="39" t="n">
        <f aca="false">IF(B7="","",-C7+IF(ROW()-5=$I$5,B7,0))</f>
        <v>-750</v>
      </c>
      <c r="H7" s="33" t="s">
        <v>161</v>
      </c>
      <c r="I7" s="34" t="n">
        <f aca="false">IF(I5&lt;2,"",INDEX(A6:A125,I5)-A6)</f>
        <v>365</v>
      </c>
      <c r="J7" s="2" t="s">
        <v>162</v>
      </c>
    </row>
    <row r="8" customFormat="false" ht="15" hidden="false" customHeight="true" outlineLevel="0" collapsed="false">
      <c r="A8" s="35" t="n">
        <v>45717</v>
      </c>
      <c r="B8" s="36" t="n">
        <v>72600</v>
      </c>
      <c r="C8" s="36" t="n">
        <v>750</v>
      </c>
      <c r="D8" s="41" t="n">
        <f aca="false">IF(B8="","",(B8-C8)/B7-1)</f>
        <v>0.00912921348314599</v>
      </c>
      <c r="E8" s="38" t="n">
        <f aca="false">IF(B8="","",E7*(1+D8))</f>
        <v>1.01561647271268</v>
      </c>
      <c r="F8" s="39" t="n">
        <f aca="false">IF(B8="","",-C8+IF(ROW()-5=$I$5,B8,0))</f>
        <v>-750</v>
      </c>
      <c r="H8" s="33" t="s">
        <v>163</v>
      </c>
      <c r="I8" s="40" t="n">
        <f aca="false">IF(I5&lt;2,"",INDEX(E6:E125,I5)^(365/I7)-1)</f>
        <v>0.116332049321525</v>
      </c>
      <c r="J8" s="2" t="s">
        <v>164</v>
      </c>
    </row>
    <row r="9" customFormat="false" ht="15" hidden="false" customHeight="true" outlineLevel="0" collapsed="false">
      <c r="A9" s="35" t="n">
        <v>45748</v>
      </c>
      <c r="B9" s="36" t="n">
        <v>71800</v>
      </c>
      <c r="C9" s="36" t="n">
        <v>750</v>
      </c>
      <c r="D9" s="41" t="n">
        <f aca="false">IF(B9="","",(B9-C9)/B8-1)</f>
        <v>-0.0213498622589532</v>
      </c>
      <c r="E9" s="38" t="n">
        <f aca="false">IF(B9="","",E8*(1+D9))</f>
        <v>0.993933200912341</v>
      </c>
      <c r="F9" s="39" t="n">
        <f aca="false">IF(B9="","",-C9+IF(ROW()-5=$I$5,B9,0))</f>
        <v>-750</v>
      </c>
      <c r="H9" s="33" t="s">
        <v>165</v>
      </c>
      <c r="I9" s="40" t="n">
        <f aca="false">IF(I5&lt;2,"",XIRR(F6:INDEX(F6:F125,I5),A6:INDEX(A6:A125,I5)))</f>
        <v>0.121524367887868</v>
      </c>
      <c r="J9" s="2" t="s">
        <v>65</v>
      </c>
    </row>
    <row r="10" customFormat="false" ht="15" hidden="false" customHeight="true" outlineLevel="0" collapsed="false">
      <c r="A10" s="35" t="n">
        <v>45778</v>
      </c>
      <c r="B10" s="36" t="n">
        <v>70500</v>
      </c>
      <c r="C10" s="36" t="n">
        <v>750</v>
      </c>
      <c r="D10" s="41" t="n">
        <f aca="false">IF(B10="","",(B10-C10)/B9-1)</f>
        <v>-0.0285515320334262</v>
      </c>
      <c r="E10" s="38" t="n">
        <f aca="false">IF(B10="","",E9*(1+D10))</f>
        <v>0.965554885287407</v>
      </c>
      <c r="F10" s="39" t="n">
        <f aca="false">IF(B10="","",-C10+IF(ROW()-5=$I$5,B10,0))</f>
        <v>-750</v>
      </c>
      <c r="H10" s="33" t="s">
        <v>166</v>
      </c>
      <c r="I10" s="40" t="n">
        <f aca="false">IF(I5&lt;2,"",I8-I9)</f>
        <v>-0.00519231856634336</v>
      </c>
      <c r="J10" s="2" t="s">
        <v>167</v>
      </c>
    </row>
    <row r="11" customFormat="false" ht="15" hidden="false" customHeight="true" outlineLevel="0" collapsed="false">
      <c r="A11" s="35" t="n">
        <v>45809</v>
      </c>
      <c r="B11" s="36" t="n">
        <v>72400</v>
      </c>
      <c r="C11" s="36" t="n">
        <v>750</v>
      </c>
      <c r="D11" s="41" t="n">
        <f aca="false">IF(B11="","",(B11-C11)/B10-1)</f>
        <v>0.0163120567375887</v>
      </c>
      <c r="E11" s="38" t="n">
        <f aca="false">IF(B11="","",E10*(1+D11))</f>
        <v>0.981305071359471</v>
      </c>
      <c r="F11" s="39" t="n">
        <f aca="false">IF(B11="","",-C11+IF(ROW()-5=$I$5,B11,0))</f>
        <v>-750</v>
      </c>
    </row>
    <row r="12" customFormat="false" ht="15" hidden="false" customHeight="true" outlineLevel="0" collapsed="false">
      <c r="A12" s="35" t="n">
        <v>45839</v>
      </c>
      <c r="B12" s="36" t="n">
        <v>74800</v>
      </c>
      <c r="C12" s="36" t="n">
        <v>750</v>
      </c>
      <c r="D12" s="41" t="n">
        <f aca="false">IF(B12="","",(B12-C12)/B11-1)</f>
        <v>0.0227900552486189</v>
      </c>
      <c r="E12" s="38" t="n">
        <f aca="false">IF(B12="","",E11*(1+D12))</f>
        <v>1.0036690681515</v>
      </c>
      <c r="F12" s="39" t="n">
        <f aca="false">IF(B12="","",-C12+IF(ROW()-5=$I$5,B12,0))</f>
        <v>-750</v>
      </c>
      <c r="H12" s="33" t="s">
        <v>168</v>
      </c>
    </row>
    <row r="13" customFormat="false" ht="15" hidden="false" customHeight="true" outlineLevel="0" collapsed="false">
      <c r="A13" s="35" t="n">
        <v>45870</v>
      </c>
      <c r="B13" s="36" t="n">
        <v>76200</v>
      </c>
      <c r="C13" s="36" t="n">
        <v>750</v>
      </c>
      <c r="D13" s="41" t="n">
        <f aca="false">IF(B13="","",(B13-C13)/B12-1)</f>
        <v>0.0086898395721926</v>
      </c>
      <c r="E13" s="38" t="n">
        <f aca="false">IF(B13="","",E12*(1+D13))</f>
        <v>1.01239079133731</v>
      </c>
      <c r="F13" s="39" t="n">
        <f aca="false">IF(B13="","",-C13+IF(ROW()-5=$I$5,B13,0))</f>
        <v>-750</v>
      </c>
      <c r="H13" s="24" t="s">
        <v>169</v>
      </c>
    </row>
    <row r="14" customFormat="false" ht="15" hidden="false" customHeight="true" outlineLevel="0" collapsed="false">
      <c r="A14" s="35" t="n">
        <v>45901</v>
      </c>
      <c r="B14" s="36" t="n">
        <v>75000</v>
      </c>
      <c r="C14" s="36" t="n">
        <v>750</v>
      </c>
      <c r="D14" s="41" t="n">
        <f aca="false">IF(B14="","",(B14-C14)/B13-1)</f>
        <v>-0.0255905511811023</v>
      </c>
      <c r="E14" s="38" t="n">
        <f aca="false">IF(B14="","",E13*(1+D14))</f>
        <v>0.986483152976317</v>
      </c>
      <c r="F14" s="39" t="n">
        <f aca="false">IF(B14="","",-C14+IF(ROW()-5=$I$5,B14,0))</f>
        <v>-750</v>
      </c>
      <c r="H14" s="24" t="s">
        <v>170</v>
      </c>
    </row>
    <row r="15" customFormat="false" ht="15" hidden="false" customHeight="true" outlineLevel="0" collapsed="false">
      <c r="A15" s="35" t="n">
        <v>45931</v>
      </c>
      <c r="B15" s="36" t="n">
        <v>78500</v>
      </c>
      <c r="C15" s="36" t="n">
        <v>750</v>
      </c>
      <c r="D15" s="41" t="n">
        <f aca="false">IF(B15="","",(B15-C15)/B14-1)</f>
        <v>0.0366666666666666</v>
      </c>
      <c r="E15" s="38" t="n">
        <f aca="false">IF(B15="","",E14*(1+D15))</f>
        <v>1.02265420191878</v>
      </c>
      <c r="F15" s="39" t="n">
        <f aca="false">IF(B15="","",-C15+IF(ROW()-5=$I$5,B15,0))</f>
        <v>-750</v>
      </c>
      <c r="H15" s="24" t="s">
        <v>171</v>
      </c>
    </row>
    <row r="16" customFormat="false" ht="15" hidden="false" customHeight="true" outlineLevel="0" collapsed="false">
      <c r="A16" s="35" t="n">
        <v>45962</v>
      </c>
      <c r="B16" s="36" t="n">
        <v>81800</v>
      </c>
      <c r="C16" s="36" t="n">
        <v>750</v>
      </c>
      <c r="D16" s="41" t="n">
        <f aca="false">IF(B16="","",(B16-C16)/B15-1)</f>
        <v>0.0324840764331211</v>
      </c>
      <c r="E16" s="38" t="n">
        <f aca="false">IF(B16="","",E15*(1+D16))</f>
        <v>1.05587417917856</v>
      </c>
      <c r="F16" s="39" t="n">
        <f aca="false">IF(B16="","",-C16+IF(ROW()-5=$I$5,B16,0))</f>
        <v>-750</v>
      </c>
      <c r="H16" s="24" t="s">
        <v>172</v>
      </c>
    </row>
    <row r="17" customFormat="false" ht="15" hidden="false" customHeight="true" outlineLevel="0" collapsed="false">
      <c r="A17" s="35" t="n">
        <v>45992</v>
      </c>
      <c r="B17" s="36" t="n">
        <v>85400</v>
      </c>
      <c r="C17" s="36" t="n">
        <v>750</v>
      </c>
      <c r="D17" s="41" t="n">
        <f aca="false">IF(B17="","",(B17-C17)/B16-1)</f>
        <v>0.0348410757946209</v>
      </c>
      <c r="E17" s="38" t="n">
        <f aca="false">IF(B17="","",E16*(1+D17))</f>
        <v>1.09266197148491</v>
      </c>
      <c r="F17" s="39" t="n">
        <f aca="false">IF(B17="","",-C17+IF(ROW()-5=$I$5,B17,0))</f>
        <v>-750</v>
      </c>
      <c r="H17" s="24" t="s">
        <v>173</v>
      </c>
    </row>
    <row r="18" customFormat="false" ht="15" hidden="false" customHeight="true" outlineLevel="0" collapsed="false">
      <c r="A18" s="35" t="n">
        <v>46023</v>
      </c>
      <c r="B18" s="36" t="n">
        <v>88000</v>
      </c>
      <c r="C18" s="36" t="n">
        <v>750</v>
      </c>
      <c r="D18" s="41" t="n">
        <f aca="false">IF(B18="","",(B18-C18)/B17-1)</f>
        <v>0.0216627634660422</v>
      </c>
      <c r="E18" s="38" t="n">
        <f aca="false">IF(B18="","",E17*(1+D18))</f>
        <v>1.11633204932152</v>
      </c>
      <c r="F18" s="39" t="n">
        <f aca="false">IF(B18="","",-C18+IF(ROW()-5=$I$5,B18,0))</f>
        <v>87250</v>
      </c>
      <c r="H18" s="24" t="s">
        <v>174</v>
      </c>
    </row>
    <row r="19" customFormat="false" ht="15" hidden="false" customHeight="false" outlineLevel="0" collapsed="false">
      <c r="A19" s="35"/>
      <c r="B19" s="36"/>
      <c r="C19" s="36"/>
      <c r="D19" s="41" t="str">
        <f aca="false">IF(B19="","",(B19-C19)/B18-1)</f>
        <v/>
      </c>
      <c r="E19" s="38" t="str">
        <f aca="false">IF(B19="","",E18*(1+D19))</f>
        <v/>
      </c>
      <c r="F19" s="39" t="str">
        <f aca="false">IF(B19="","",-C19+IF(ROW()-5=$I$5,B19,0))</f>
        <v/>
      </c>
    </row>
    <row r="20" customFormat="false" ht="15" hidden="false" customHeight="true" outlineLevel="0" collapsed="false">
      <c r="A20" s="35"/>
      <c r="B20" s="36"/>
      <c r="C20" s="36"/>
      <c r="D20" s="41" t="str">
        <f aca="false">IF(B20="","",(B20-C20)/B19-1)</f>
        <v/>
      </c>
      <c r="E20" s="38" t="str">
        <f aca="false">IF(B20="","",E19*(1+D20))</f>
        <v/>
      </c>
      <c r="F20" s="39" t="str">
        <f aca="false">IF(B20="","",-C20+IF(ROW()-5=$I$5,B20,0))</f>
        <v/>
      </c>
    </row>
    <row r="21" customFormat="false" ht="15" hidden="false" customHeight="true" outlineLevel="0" collapsed="false">
      <c r="A21" s="35"/>
      <c r="B21" s="36"/>
      <c r="C21" s="36"/>
      <c r="D21" s="41" t="str">
        <f aca="false">IF(B21="","",(B21-C21)/B20-1)</f>
        <v/>
      </c>
      <c r="E21" s="38" t="str">
        <f aca="false">IF(B21="","",E20*(1+D21))</f>
        <v/>
      </c>
      <c r="F21" s="39" t="str">
        <f aca="false">IF(B21="","",-C21+IF(ROW()-5=$I$5,B21,0))</f>
        <v/>
      </c>
    </row>
    <row r="22" customFormat="false" ht="15" hidden="false" customHeight="true" outlineLevel="0" collapsed="false">
      <c r="A22" s="35"/>
      <c r="B22" s="36"/>
      <c r="C22" s="36"/>
      <c r="D22" s="41" t="str">
        <f aca="false">IF(B22="","",(B22-C22)/B21-1)</f>
        <v/>
      </c>
      <c r="E22" s="38" t="str">
        <f aca="false">IF(B22="","",E21*(1+D22))</f>
        <v/>
      </c>
      <c r="F22" s="39" t="str">
        <f aca="false">IF(B22="","",-C22+IF(ROW()-5=$I$5,B22,0))</f>
        <v/>
      </c>
    </row>
    <row r="23" customFormat="false" ht="15" hidden="false" customHeight="true" outlineLevel="0" collapsed="false">
      <c r="A23" s="35"/>
      <c r="B23" s="36"/>
      <c r="C23" s="36"/>
      <c r="D23" s="41" t="str">
        <f aca="false">IF(B23="","",(B23-C23)/B22-1)</f>
        <v/>
      </c>
      <c r="E23" s="38" t="str">
        <f aca="false">IF(B23="","",E22*(1+D23))</f>
        <v/>
      </c>
      <c r="F23" s="39" t="str">
        <f aca="false">IF(B23="","",-C23+IF(ROW()-5=$I$5,B23,0))</f>
        <v/>
      </c>
    </row>
    <row r="24" customFormat="false" ht="15" hidden="false" customHeight="true" outlineLevel="0" collapsed="false">
      <c r="A24" s="35"/>
      <c r="B24" s="36"/>
      <c r="C24" s="36"/>
      <c r="D24" s="41" t="str">
        <f aca="false">IF(B24="","",(B24-C24)/B23-1)</f>
        <v/>
      </c>
      <c r="E24" s="38" t="str">
        <f aca="false">IF(B24="","",E23*(1+D24))</f>
        <v/>
      </c>
      <c r="F24" s="39" t="str">
        <f aca="false">IF(B24="","",-C24+IF(ROW()-5=$I$5,B24,0))</f>
        <v/>
      </c>
    </row>
    <row r="25" customFormat="false" ht="15" hidden="false" customHeight="false" outlineLevel="0" collapsed="false">
      <c r="A25" s="35"/>
      <c r="B25" s="36"/>
      <c r="C25" s="36"/>
      <c r="D25" s="41" t="str">
        <f aca="false">IF(B25="","",(B25-C25)/B24-1)</f>
        <v/>
      </c>
      <c r="E25" s="38" t="str">
        <f aca="false">IF(B25="","",E24*(1+D25))</f>
        <v/>
      </c>
      <c r="F25" s="39" t="str">
        <f aca="false">IF(B25="","",-C25+IF(ROW()-5=$I$5,B25,0))</f>
        <v/>
      </c>
    </row>
    <row r="26" customFormat="false" ht="15" hidden="false" customHeight="true" outlineLevel="0" collapsed="false">
      <c r="A26" s="35"/>
      <c r="B26" s="36"/>
      <c r="C26" s="36"/>
      <c r="D26" s="41" t="str">
        <f aca="false">IF(B26="","",(B26-C26)/B25-1)</f>
        <v/>
      </c>
      <c r="E26" s="38" t="str">
        <f aca="false">IF(B26="","",E25*(1+D26))</f>
        <v/>
      </c>
      <c r="F26" s="39" t="str">
        <f aca="false">IF(B26="","",-C26+IF(ROW()-5=$I$5,B26,0))</f>
        <v/>
      </c>
    </row>
    <row r="27" customFormat="false" ht="15" hidden="false" customHeight="true" outlineLevel="0" collapsed="false">
      <c r="A27" s="35"/>
      <c r="B27" s="36"/>
      <c r="C27" s="36"/>
      <c r="D27" s="41" t="str">
        <f aca="false">IF(B27="","",(B27-C27)/B26-1)</f>
        <v/>
      </c>
      <c r="E27" s="38" t="str">
        <f aca="false">IF(B27="","",E26*(1+D27))</f>
        <v/>
      </c>
      <c r="F27" s="39" t="str">
        <f aca="false">IF(B27="","",-C27+IF(ROW()-5=$I$5,B27,0))</f>
        <v/>
      </c>
    </row>
    <row r="28" customFormat="false" ht="15" hidden="false" customHeight="true" outlineLevel="0" collapsed="false">
      <c r="A28" s="35"/>
      <c r="B28" s="36"/>
      <c r="C28" s="36"/>
      <c r="D28" s="41" t="str">
        <f aca="false">IF(B28="","",(B28-C28)/B27-1)</f>
        <v/>
      </c>
      <c r="E28" s="38" t="str">
        <f aca="false">IF(B28="","",E27*(1+D28))</f>
        <v/>
      </c>
      <c r="F28" s="39" t="str">
        <f aca="false">IF(B28="","",-C28+IF(ROW()-5=$I$5,B28,0))</f>
        <v/>
      </c>
    </row>
    <row r="29" customFormat="false" ht="15" hidden="false" customHeight="true" outlineLevel="0" collapsed="false">
      <c r="A29" s="35"/>
      <c r="B29" s="36"/>
      <c r="C29" s="36"/>
      <c r="D29" s="41" t="str">
        <f aca="false">IF(B29="","",(B29-C29)/B28-1)</f>
        <v/>
      </c>
      <c r="E29" s="38" t="str">
        <f aca="false">IF(B29="","",E28*(1+D29))</f>
        <v/>
      </c>
      <c r="F29" s="39" t="str">
        <f aca="false">IF(B29="","",-C29+IF(ROW()-5=$I$5,B29,0))</f>
        <v/>
      </c>
    </row>
    <row r="30" customFormat="false" ht="15" hidden="false" customHeight="true" outlineLevel="0" collapsed="false">
      <c r="A30" s="35"/>
      <c r="B30" s="36"/>
      <c r="C30" s="36"/>
      <c r="D30" s="41" t="str">
        <f aca="false">IF(B30="","",(B30-C30)/B29-1)</f>
        <v/>
      </c>
      <c r="E30" s="38" t="str">
        <f aca="false">IF(B30="","",E29*(1+D30))</f>
        <v/>
      </c>
      <c r="F30" s="39" t="str">
        <f aca="false">IF(B30="","",-C30+IF(ROW()-5=$I$5,B30,0))</f>
        <v/>
      </c>
    </row>
    <row r="31" customFormat="false" ht="15" hidden="false" customHeight="true" outlineLevel="0" collapsed="false">
      <c r="A31" s="35"/>
      <c r="B31" s="36"/>
      <c r="C31" s="36"/>
      <c r="D31" s="41" t="str">
        <f aca="false">IF(B31="","",(B31-C31)/B30-1)</f>
        <v/>
      </c>
      <c r="E31" s="38" t="str">
        <f aca="false">IF(B31="","",E30*(1+D31))</f>
        <v/>
      </c>
      <c r="F31" s="39" t="str">
        <f aca="false">IF(B31="","",-C31+IF(ROW()-5=$I$5,B31,0))</f>
        <v/>
      </c>
    </row>
    <row r="32" customFormat="false" ht="15" hidden="false" customHeight="true" outlineLevel="0" collapsed="false">
      <c r="A32" s="35"/>
      <c r="B32" s="36"/>
      <c r="C32" s="36"/>
      <c r="D32" s="41" t="str">
        <f aca="false">IF(B32="","",(B32-C32)/B31-1)</f>
        <v/>
      </c>
      <c r="E32" s="38" t="str">
        <f aca="false">IF(B32="","",E31*(1+D32))</f>
        <v/>
      </c>
      <c r="F32" s="39" t="str">
        <f aca="false">IF(B32="","",-C32+IF(ROW()-5=$I$5,B32,0))</f>
        <v/>
      </c>
    </row>
    <row r="33" customFormat="false" ht="15" hidden="false" customHeight="false" outlineLevel="0" collapsed="false">
      <c r="A33" s="35"/>
      <c r="B33" s="36"/>
      <c r="C33" s="36"/>
      <c r="D33" s="41" t="str">
        <f aca="false">IF(B33="","",(B33-C33)/B32-1)</f>
        <v/>
      </c>
      <c r="E33" s="38" t="str">
        <f aca="false">IF(B33="","",E32*(1+D33))</f>
        <v/>
      </c>
      <c r="F33" s="39" t="str">
        <f aca="false">IF(B33="","",-C33+IF(ROW()-5=$I$5,B33,0))</f>
        <v/>
      </c>
    </row>
    <row r="34" customFormat="false" ht="15" hidden="false" customHeight="false" outlineLevel="0" collapsed="false">
      <c r="A34" s="35"/>
      <c r="B34" s="36"/>
      <c r="C34" s="36"/>
      <c r="D34" s="41" t="str">
        <f aca="false">IF(B34="","",(B34-C34)/B33-1)</f>
        <v/>
      </c>
      <c r="E34" s="38" t="str">
        <f aca="false">IF(B34="","",E33*(1+D34))</f>
        <v/>
      </c>
      <c r="F34" s="39" t="str">
        <f aca="false">IF(B34="","",-C34+IF(ROW()-5=$I$5,B34,0))</f>
        <v/>
      </c>
    </row>
    <row r="35" customFormat="false" ht="15" hidden="false" customHeight="false" outlineLevel="0" collapsed="false">
      <c r="A35" s="35"/>
      <c r="B35" s="36"/>
      <c r="C35" s="36"/>
      <c r="D35" s="41" t="str">
        <f aca="false">IF(B35="","",(B35-C35)/B34-1)</f>
        <v/>
      </c>
      <c r="E35" s="38" t="str">
        <f aca="false">IF(B35="","",E34*(1+D35))</f>
        <v/>
      </c>
      <c r="F35" s="39" t="str">
        <f aca="false">IF(B35="","",-C35+IF(ROW()-5=$I$5,B35,0))</f>
        <v/>
      </c>
    </row>
    <row r="36" customFormat="false" ht="15" hidden="false" customHeight="false" outlineLevel="0" collapsed="false">
      <c r="A36" s="35"/>
      <c r="B36" s="36"/>
      <c r="C36" s="36"/>
      <c r="D36" s="41" t="str">
        <f aca="false">IF(B36="","",(B36-C36)/B35-1)</f>
        <v/>
      </c>
      <c r="E36" s="38" t="str">
        <f aca="false">IF(B36="","",E35*(1+D36))</f>
        <v/>
      </c>
      <c r="F36" s="39" t="str">
        <f aca="false">IF(B36="","",-C36+IF(ROW()-5=$I$5,B36,0))</f>
        <v/>
      </c>
    </row>
    <row r="37" customFormat="false" ht="15" hidden="false" customHeight="false" outlineLevel="0" collapsed="false">
      <c r="A37" s="35"/>
      <c r="B37" s="36"/>
      <c r="C37" s="36"/>
      <c r="D37" s="41" t="str">
        <f aca="false">IF(B37="","",(B37-C37)/B36-1)</f>
        <v/>
      </c>
      <c r="E37" s="38" t="str">
        <f aca="false">IF(B37="","",E36*(1+D37))</f>
        <v/>
      </c>
      <c r="F37" s="39" t="str">
        <f aca="false">IF(B37="","",-C37+IF(ROW()-5=$I$5,B37,0))</f>
        <v/>
      </c>
    </row>
    <row r="38" customFormat="false" ht="15" hidden="false" customHeight="false" outlineLevel="0" collapsed="false">
      <c r="A38" s="35"/>
      <c r="B38" s="36"/>
      <c r="C38" s="36"/>
      <c r="D38" s="41" t="str">
        <f aca="false">IF(B38="","",(B38-C38)/B37-1)</f>
        <v/>
      </c>
      <c r="E38" s="38" t="str">
        <f aca="false">IF(B38="","",E37*(1+D38))</f>
        <v/>
      </c>
      <c r="F38" s="39" t="str">
        <f aca="false">IF(B38="","",-C38+IF(ROW()-5=$I$5,B38,0))</f>
        <v/>
      </c>
    </row>
    <row r="39" customFormat="false" ht="15" hidden="false" customHeight="false" outlineLevel="0" collapsed="false">
      <c r="A39" s="35"/>
      <c r="B39" s="36"/>
      <c r="C39" s="36"/>
      <c r="D39" s="41" t="str">
        <f aca="false">IF(B39="","",(B39-C39)/B38-1)</f>
        <v/>
      </c>
      <c r="E39" s="38" t="str">
        <f aca="false">IF(B39="","",E38*(1+D39))</f>
        <v/>
      </c>
      <c r="F39" s="39" t="str">
        <f aca="false">IF(B39="","",-C39+IF(ROW()-5=$I$5,B39,0))</f>
        <v/>
      </c>
    </row>
    <row r="40" customFormat="false" ht="15" hidden="false" customHeight="false" outlineLevel="0" collapsed="false">
      <c r="A40" s="35"/>
      <c r="B40" s="36"/>
      <c r="C40" s="36"/>
      <c r="D40" s="41" t="str">
        <f aca="false">IF(B40="","",(B40-C40)/B39-1)</f>
        <v/>
      </c>
      <c r="E40" s="38" t="str">
        <f aca="false">IF(B40="","",E39*(1+D40))</f>
        <v/>
      </c>
      <c r="F40" s="39" t="str">
        <f aca="false">IF(B40="","",-C40+IF(ROW()-5=$I$5,B40,0))</f>
        <v/>
      </c>
    </row>
    <row r="41" customFormat="false" ht="15" hidden="false" customHeight="false" outlineLevel="0" collapsed="false">
      <c r="A41" s="35"/>
      <c r="B41" s="36"/>
      <c r="C41" s="36"/>
      <c r="D41" s="41" t="str">
        <f aca="false">IF(B41="","",(B41-C41)/B40-1)</f>
        <v/>
      </c>
      <c r="E41" s="38" t="str">
        <f aca="false">IF(B41="","",E40*(1+D41))</f>
        <v/>
      </c>
      <c r="F41" s="39" t="str">
        <f aca="false">IF(B41="","",-C41+IF(ROW()-5=$I$5,B41,0))</f>
        <v/>
      </c>
    </row>
    <row r="42" customFormat="false" ht="15" hidden="false" customHeight="false" outlineLevel="0" collapsed="false">
      <c r="A42" s="35"/>
      <c r="B42" s="36"/>
      <c r="C42" s="36"/>
      <c r="D42" s="41" t="str">
        <f aca="false">IF(B42="","",(B42-C42)/B41-1)</f>
        <v/>
      </c>
      <c r="E42" s="38" t="str">
        <f aca="false">IF(B42="","",E41*(1+D42))</f>
        <v/>
      </c>
      <c r="F42" s="39" t="str">
        <f aca="false">IF(B42="","",-C42+IF(ROW()-5=$I$5,B42,0))</f>
        <v/>
      </c>
    </row>
    <row r="43" customFormat="false" ht="15" hidden="false" customHeight="false" outlineLevel="0" collapsed="false">
      <c r="A43" s="35"/>
      <c r="B43" s="36"/>
      <c r="C43" s="36"/>
      <c r="D43" s="41" t="str">
        <f aca="false">IF(B43="","",(B43-C43)/B42-1)</f>
        <v/>
      </c>
      <c r="E43" s="38" t="str">
        <f aca="false">IF(B43="","",E42*(1+D43))</f>
        <v/>
      </c>
      <c r="F43" s="39" t="str">
        <f aca="false">IF(B43="","",-C43+IF(ROW()-5=$I$5,B43,0))</f>
        <v/>
      </c>
    </row>
    <row r="44" customFormat="false" ht="15" hidden="false" customHeight="false" outlineLevel="0" collapsed="false">
      <c r="A44" s="35"/>
      <c r="B44" s="36"/>
      <c r="C44" s="36"/>
      <c r="D44" s="41" t="str">
        <f aca="false">IF(B44="","",(B44-C44)/B43-1)</f>
        <v/>
      </c>
      <c r="E44" s="38" t="str">
        <f aca="false">IF(B44="","",E43*(1+D44))</f>
        <v/>
      </c>
      <c r="F44" s="39" t="str">
        <f aca="false">IF(B44="","",-C44+IF(ROW()-5=$I$5,B44,0))</f>
        <v/>
      </c>
    </row>
    <row r="45" customFormat="false" ht="15" hidden="false" customHeight="false" outlineLevel="0" collapsed="false">
      <c r="A45" s="35"/>
      <c r="B45" s="36"/>
      <c r="C45" s="36"/>
      <c r="D45" s="41" t="str">
        <f aca="false">IF(B45="","",(B45-C45)/B44-1)</f>
        <v/>
      </c>
      <c r="E45" s="38" t="str">
        <f aca="false">IF(B45="","",E44*(1+D45))</f>
        <v/>
      </c>
      <c r="F45" s="39" t="str">
        <f aca="false">IF(B45="","",-C45+IF(ROW()-5=$I$5,B45,0))</f>
        <v/>
      </c>
    </row>
    <row r="46" customFormat="false" ht="15" hidden="false" customHeight="false" outlineLevel="0" collapsed="false">
      <c r="A46" s="35"/>
      <c r="B46" s="36"/>
      <c r="C46" s="36"/>
      <c r="D46" s="41" t="str">
        <f aca="false">IF(B46="","",(B46-C46)/B45-1)</f>
        <v/>
      </c>
      <c r="E46" s="38" t="str">
        <f aca="false">IF(B46="","",E45*(1+D46))</f>
        <v/>
      </c>
      <c r="F46" s="39" t="str">
        <f aca="false">IF(B46="","",-C46+IF(ROW()-5=$I$5,B46,0))</f>
        <v/>
      </c>
    </row>
    <row r="47" customFormat="false" ht="15" hidden="false" customHeight="false" outlineLevel="0" collapsed="false">
      <c r="A47" s="35"/>
      <c r="B47" s="36"/>
      <c r="C47" s="36"/>
      <c r="D47" s="41" t="str">
        <f aca="false">IF(B47="","",(B47-C47)/B46-1)</f>
        <v/>
      </c>
      <c r="E47" s="38" t="str">
        <f aca="false">IF(B47="","",E46*(1+D47))</f>
        <v/>
      </c>
      <c r="F47" s="39" t="str">
        <f aca="false">IF(B47="","",-C47+IF(ROW()-5=$I$5,B47,0))</f>
        <v/>
      </c>
    </row>
    <row r="48" customFormat="false" ht="15" hidden="false" customHeight="false" outlineLevel="0" collapsed="false">
      <c r="A48" s="35"/>
      <c r="B48" s="36"/>
      <c r="C48" s="36"/>
      <c r="D48" s="41" t="str">
        <f aca="false">IF(B48="","",(B48-C48)/B47-1)</f>
        <v/>
      </c>
      <c r="E48" s="38" t="str">
        <f aca="false">IF(B48="","",E47*(1+D48))</f>
        <v/>
      </c>
      <c r="F48" s="39" t="str">
        <f aca="false">IF(B48="","",-C48+IF(ROW()-5=$I$5,B48,0))</f>
        <v/>
      </c>
    </row>
    <row r="49" customFormat="false" ht="15" hidden="false" customHeight="false" outlineLevel="0" collapsed="false">
      <c r="A49" s="35"/>
      <c r="B49" s="36"/>
      <c r="C49" s="36"/>
      <c r="D49" s="41" t="str">
        <f aca="false">IF(B49="","",(B49-C49)/B48-1)</f>
        <v/>
      </c>
      <c r="E49" s="38" t="str">
        <f aca="false">IF(B49="","",E48*(1+D49))</f>
        <v/>
      </c>
      <c r="F49" s="39" t="str">
        <f aca="false">IF(B49="","",-C49+IF(ROW()-5=$I$5,B49,0))</f>
        <v/>
      </c>
    </row>
    <row r="50" customFormat="false" ht="15" hidden="false" customHeight="false" outlineLevel="0" collapsed="false">
      <c r="A50" s="35"/>
      <c r="B50" s="36"/>
      <c r="C50" s="36"/>
      <c r="D50" s="41" t="str">
        <f aca="false">IF(B50="","",(B50-C50)/B49-1)</f>
        <v/>
      </c>
      <c r="E50" s="38" t="str">
        <f aca="false">IF(B50="","",E49*(1+D50))</f>
        <v/>
      </c>
      <c r="F50" s="39" t="str">
        <f aca="false">IF(B50="","",-C50+IF(ROW()-5=$I$5,B50,0))</f>
        <v/>
      </c>
    </row>
    <row r="51" customFormat="false" ht="15" hidden="false" customHeight="false" outlineLevel="0" collapsed="false">
      <c r="A51" s="35"/>
      <c r="B51" s="36"/>
      <c r="C51" s="36"/>
      <c r="D51" s="41" t="str">
        <f aca="false">IF(B51="","",(B51-C51)/B50-1)</f>
        <v/>
      </c>
      <c r="E51" s="38" t="str">
        <f aca="false">IF(B51="","",E50*(1+D51))</f>
        <v/>
      </c>
      <c r="F51" s="39" t="str">
        <f aca="false">IF(B51="","",-C51+IF(ROW()-5=$I$5,B51,0))</f>
        <v/>
      </c>
    </row>
    <row r="52" customFormat="false" ht="15" hidden="false" customHeight="false" outlineLevel="0" collapsed="false">
      <c r="A52" s="35"/>
      <c r="B52" s="36"/>
      <c r="C52" s="36"/>
      <c r="D52" s="41" t="str">
        <f aca="false">IF(B52="","",(B52-C52)/B51-1)</f>
        <v/>
      </c>
      <c r="E52" s="38" t="str">
        <f aca="false">IF(B52="","",E51*(1+D52))</f>
        <v/>
      </c>
      <c r="F52" s="39" t="str">
        <f aca="false">IF(B52="","",-C52+IF(ROW()-5=$I$5,B52,0))</f>
        <v/>
      </c>
    </row>
    <row r="53" customFormat="false" ht="15" hidden="false" customHeight="false" outlineLevel="0" collapsed="false">
      <c r="A53" s="35"/>
      <c r="B53" s="36"/>
      <c r="C53" s="36"/>
      <c r="D53" s="41" t="str">
        <f aca="false">IF(B53="","",(B53-C53)/B52-1)</f>
        <v/>
      </c>
      <c r="E53" s="38" t="str">
        <f aca="false">IF(B53="","",E52*(1+D53))</f>
        <v/>
      </c>
      <c r="F53" s="39" t="str">
        <f aca="false">IF(B53="","",-C53+IF(ROW()-5=$I$5,B53,0))</f>
        <v/>
      </c>
    </row>
    <row r="54" customFormat="false" ht="15" hidden="false" customHeight="false" outlineLevel="0" collapsed="false">
      <c r="A54" s="35"/>
      <c r="B54" s="36"/>
      <c r="C54" s="36"/>
      <c r="D54" s="41" t="str">
        <f aca="false">IF(B54="","",(B54-C54)/B53-1)</f>
        <v/>
      </c>
      <c r="E54" s="38" t="str">
        <f aca="false">IF(B54="","",E53*(1+D54))</f>
        <v/>
      </c>
      <c r="F54" s="39" t="str">
        <f aca="false">IF(B54="","",-C54+IF(ROW()-5=$I$5,B54,0))</f>
        <v/>
      </c>
    </row>
    <row r="55" customFormat="false" ht="15" hidden="false" customHeight="false" outlineLevel="0" collapsed="false">
      <c r="A55" s="35"/>
      <c r="B55" s="36"/>
      <c r="C55" s="36"/>
      <c r="D55" s="41" t="str">
        <f aca="false">IF(B55="","",(B55-C55)/B54-1)</f>
        <v/>
      </c>
      <c r="E55" s="38" t="str">
        <f aca="false">IF(B55="","",E54*(1+D55))</f>
        <v/>
      </c>
      <c r="F55" s="39" t="str">
        <f aca="false">IF(B55="","",-C55+IF(ROW()-5=$I$5,B55,0))</f>
        <v/>
      </c>
    </row>
    <row r="56" customFormat="false" ht="15" hidden="false" customHeight="false" outlineLevel="0" collapsed="false">
      <c r="A56" s="35"/>
      <c r="B56" s="36"/>
      <c r="C56" s="36"/>
      <c r="D56" s="41" t="str">
        <f aca="false">IF(B56="","",(B56-C56)/B55-1)</f>
        <v/>
      </c>
      <c r="E56" s="38" t="str">
        <f aca="false">IF(B56="","",E55*(1+D56))</f>
        <v/>
      </c>
      <c r="F56" s="39" t="str">
        <f aca="false">IF(B56="","",-C56+IF(ROW()-5=$I$5,B56,0))</f>
        <v/>
      </c>
    </row>
    <row r="57" customFormat="false" ht="15" hidden="false" customHeight="false" outlineLevel="0" collapsed="false">
      <c r="A57" s="35"/>
      <c r="B57" s="36"/>
      <c r="C57" s="36"/>
      <c r="D57" s="41" t="str">
        <f aca="false">IF(B57="","",(B57-C57)/B56-1)</f>
        <v/>
      </c>
      <c r="E57" s="38" t="str">
        <f aca="false">IF(B57="","",E56*(1+D57))</f>
        <v/>
      </c>
      <c r="F57" s="39" t="str">
        <f aca="false">IF(B57="","",-C57+IF(ROW()-5=$I$5,B57,0))</f>
        <v/>
      </c>
    </row>
    <row r="58" customFormat="false" ht="15" hidden="false" customHeight="false" outlineLevel="0" collapsed="false">
      <c r="A58" s="35"/>
      <c r="B58" s="36"/>
      <c r="C58" s="36"/>
      <c r="D58" s="41" t="str">
        <f aca="false">IF(B58="","",(B58-C58)/B57-1)</f>
        <v/>
      </c>
      <c r="E58" s="38" t="str">
        <f aca="false">IF(B58="","",E57*(1+D58))</f>
        <v/>
      </c>
      <c r="F58" s="39" t="str">
        <f aca="false">IF(B58="","",-C58+IF(ROW()-5=$I$5,B58,0))</f>
        <v/>
      </c>
    </row>
    <row r="59" customFormat="false" ht="15" hidden="false" customHeight="false" outlineLevel="0" collapsed="false">
      <c r="A59" s="35"/>
      <c r="B59" s="36"/>
      <c r="C59" s="36"/>
      <c r="D59" s="41" t="str">
        <f aca="false">IF(B59="","",(B59-C59)/B58-1)</f>
        <v/>
      </c>
      <c r="E59" s="38" t="str">
        <f aca="false">IF(B59="","",E58*(1+D59))</f>
        <v/>
      </c>
      <c r="F59" s="39" t="str">
        <f aca="false">IF(B59="","",-C59+IF(ROW()-5=$I$5,B59,0))</f>
        <v/>
      </c>
    </row>
    <row r="60" customFormat="false" ht="15" hidden="false" customHeight="false" outlineLevel="0" collapsed="false">
      <c r="A60" s="35"/>
      <c r="B60" s="36"/>
      <c r="C60" s="36"/>
      <c r="D60" s="41" t="str">
        <f aca="false">IF(B60="","",(B60-C60)/B59-1)</f>
        <v/>
      </c>
      <c r="E60" s="38" t="str">
        <f aca="false">IF(B60="","",E59*(1+D60))</f>
        <v/>
      </c>
      <c r="F60" s="39" t="str">
        <f aca="false">IF(B60="","",-C60+IF(ROW()-5=$I$5,B60,0))</f>
        <v/>
      </c>
    </row>
    <row r="61" customFormat="false" ht="15" hidden="false" customHeight="false" outlineLevel="0" collapsed="false">
      <c r="A61" s="35"/>
      <c r="B61" s="36"/>
      <c r="C61" s="36"/>
      <c r="D61" s="41" t="str">
        <f aca="false">IF(B61="","",(B61-C61)/B60-1)</f>
        <v/>
      </c>
      <c r="E61" s="38" t="str">
        <f aca="false">IF(B61="","",E60*(1+D61))</f>
        <v/>
      </c>
      <c r="F61" s="39" t="str">
        <f aca="false">IF(B61="","",-C61+IF(ROW()-5=$I$5,B61,0))</f>
        <v/>
      </c>
    </row>
    <row r="62" customFormat="false" ht="15" hidden="false" customHeight="false" outlineLevel="0" collapsed="false">
      <c r="A62" s="35"/>
      <c r="B62" s="36"/>
      <c r="C62" s="36"/>
      <c r="D62" s="41" t="str">
        <f aca="false">IF(B62="","",(B62-C62)/B61-1)</f>
        <v/>
      </c>
      <c r="E62" s="38" t="str">
        <f aca="false">IF(B62="","",E61*(1+D62))</f>
        <v/>
      </c>
      <c r="F62" s="39" t="str">
        <f aca="false">IF(B62="","",-C62+IF(ROW()-5=$I$5,B62,0))</f>
        <v/>
      </c>
    </row>
    <row r="63" customFormat="false" ht="15" hidden="false" customHeight="false" outlineLevel="0" collapsed="false">
      <c r="A63" s="35"/>
      <c r="B63" s="36"/>
      <c r="C63" s="36"/>
      <c r="D63" s="41" t="str">
        <f aca="false">IF(B63="","",(B63-C63)/B62-1)</f>
        <v/>
      </c>
      <c r="E63" s="38" t="str">
        <f aca="false">IF(B63="","",E62*(1+D63))</f>
        <v/>
      </c>
      <c r="F63" s="39" t="str">
        <f aca="false">IF(B63="","",-C63+IF(ROW()-5=$I$5,B63,0))</f>
        <v/>
      </c>
    </row>
    <row r="64" customFormat="false" ht="15" hidden="false" customHeight="false" outlineLevel="0" collapsed="false">
      <c r="A64" s="35"/>
      <c r="B64" s="36"/>
      <c r="C64" s="36"/>
      <c r="D64" s="41" t="str">
        <f aca="false">IF(B64="","",(B64-C64)/B63-1)</f>
        <v/>
      </c>
      <c r="E64" s="38" t="str">
        <f aca="false">IF(B64="","",E63*(1+D64))</f>
        <v/>
      </c>
      <c r="F64" s="39" t="str">
        <f aca="false">IF(B64="","",-C64+IF(ROW()-5=$I$5,B64,0))</f>
        <v/>
      </c>
    </row>
    <row r="65" customFormat="false" ht="15" hidden="false" customHeight="false" outlineLevel="0" collapsed="false">
      <c r="A65" s="35"/>
      <c r="B65" s="36"/>
      <c r="C65" s="36"/>
      <c r="D65" s="41" t="str">
        <f aca="false">IF(B65="","",(B65-C65)/B64-1)</f>
        <v/>
      </c>
      <c r="E65" s="38" t="str">
        <f aca="false">IF(B65="","",E64*(1+D65))</f>
        <v/>
      </c>
      <c r="F65" s="39" t="str">
        <f aca="false">IF(B65="","",-C65+IF(ROW()-5=$I$5,B65,0))</f>
        <v/>
      </c>
    </row>
    <row r="66" customFormat="false" ht="15" hidden="false" customHeight="false" outlineLevel="0" collapsed="false">
      <c r="A66" s="35"/>
      <c r="B66" s="36"/>
      <c r="C66" s="36"/>
      <c r="D66" s="41" t="str">
        <f aca="false">IF(B66="","",(B66-C66)/B65-1)</f>
        <v/>
      </c>
      <c r="E66" s="38" t="str">
        <f aca="false">IF(B66="","",E65*(1+D66))</f>
        <v/>
      </c>
      <c r="F66" s="39" t="str">
        <f aca="false">IF(B66="","",-C66+IF(ROW()-5=$I$5,B66,0))</f>
        <v/>
      </c>
    </row>
    <row r="67" customFormat="false" ht="15" hidden="false" customHeight="false" outlineLevel="0" collapsed="false">
      <c r="A67" s="35"/>
      <c r="B67" s="36"/>
      <c r="C67" s="36"/>
      <c r="D67" s="41" t="str">
        <f aca="false">IF(B67="","",(B67-C67)/B66-1)</f>
        <v/>
      </c>
      <c r="E67" s="38" t="str">
        <f aca="false">IF(B67="","",E66*(1+D67))</f>
        <v/>
      </c>
      <c r="F67" s="39" t="str">
        <f aca="false">IF(B67="","",-C67+IF(ROW()-5=$I$5,B67,0))</f>
        <v/>
      </c>
    </row>
    <row r="68" customFormat="false" ht="15" hidden="false" customHeight="false" outlineLevel="0" collapsed="false">
      <c r="A68" s="35"/>
      <c r="B68" s="36"/>
      <c r="C68" s="36"/>
      <c r="D68" s="41" t="str">
        <f aca="false">IF(B68="","",(B68-C68)/B67-1)</f>
        <v/>
      </c>
      <c r="E68" s="38" t="str">
        <f aca="false">IF(B68="","",E67*(1+D68))</f>
        <v/>
      </c>
      <c r="F68" s="39" t="str">
        <f aca="false">IF(B68="","",-C68+IF(ROW()-5=$I$5,B68,0))</f>
        <v/>
      </c>
    </row>
    <row r="69" customFormat="false" ht="15" hidden="false" customHeight="false" outlineLevel="0" collapsed="false">
      <c r="A69" s="35"/>
      <c r="B69" s="36"/>
      <c r="C69" s="36"/>
      <c r="D69" s="41" t="str">
        <f aca="false">IF(B69="","",(B69-C69)/B68-1)</f>
        <v/>
      </c>
      <c r="E69" s="38" t="str">
        <f aca="false">IF(B69="","",E68*(1+D69))</f>
        <v/>
      </c>
      <c r="F69" s="39" t="str">
        <f aca="false">IF(B69="","",-C69+IF(ROW()-5=$I$5,B69,0))</f>
        <v/>
      </c>
    </row>
    <row r="70" customFormat="false" ht="15" hidden="false" customHeight="false" outlineLevel="0" collapsed="false">
      <c r="A70" s="35"/>
      <c r="B70" s="36"/>
      <c r="C70" s="36"/>
      <c r="D70" s="41" t="str">
        <f aca="false">IF(B70="","",(B70-C70)/B69-1)</f>
        <v/>
      </c>
      <c r="E70" s="38" t="str">
        <f aca="false">IF(B70="","",E69*(1+D70))</f>
        <v/>
      </c>
      <c r="F70" s="39" t="str">
        <f aca="false">IF(B70="","",-C70+IF(ROW()-5=$I$5,B70,0))</f>
        <v/>
      </c>
    </row>
    <row r="71" customFormat="false" ht="15" hidden="false" customHeight="false" outlineLevel="0" collapsed="false">
      <c r="A71" s="35"/>
      <c r="B71" s="36"/>
      <c r="C71" s="36"/>
      <c r="D71" s="41" t="str">
        <f aca="false">IF(B71="","",(B71-C71)/B70-1)</f>
        <v/>
      </c>
      <c r="E71" s="38" t="str">
        <f aca="false">IF(B71="","",E70*(1+D71))</f>
        <v/>
      </c>
      <c r="F71" s="39" t="str">
        <f aca="false">IF(B71="","",-C71+IF(ROW()-5=$I$5,B71,0))</f>
        <v/>
      </c>
    </row>
    <row r="72" customFormat="false" ht="15" hidden="false" customHeight="false" outlineLevel="0" collapsed="false">
      <c r="A72" s="35"/>
      <c r="B72" s="36"/>
      <c r="C72" s="36"/>
      <c r="D72" s="41" t="str">
        <f aca="false">IF(B72="","",(B72-C72)/B71-1)</f>
        <v/>
      </c>
      <c r="E72" s="38" t="str">
        <f aca="false">IF(B72="","",E71*(1+D72))</f>
        <v/>
      </c>
      <c r="F72" s="39" t="str">
        <f aca="false">IF(B72="","",-C72+IF(ROW()-5=$I$5,B72,0))</f>
        <v/>
      </c>
    </row>
    <row r="73" customFormat="false" ht="15" hidden="false" customHeight="false" outlineLevel="0" collapsed="false">
      <c r="A73" s="35"/>
      <c r="B73" s="36"/>
      <c r="C73" s="36"/>
      <c r="D73" s="41" t="str">
        <f aca="false">IF(B73="","",(B73-C73)/B72-1)</f>
        <v/>
      </c>
      <c r="E73" s="38" t="str">
        <f aca="false">IF(B73="","",E72*(1+D73))</f>
        <v/>
      </c>
      <c r="F73" s="39" t="str">
        <f aca="false">IF(B73="","",-C73+IF(ROW()-5=$I$5,B73,0))</f>
        <v/>
      </c>
    </row>
    <row r="74" customFormat="false" ht="15" hidden="false" customHeight="false" outlineLevel="0" collapsed="false">
      <c r="A74" s="35"/>
      <c r="B74" s="36"/>
      <c r="C74" s="36"/>
      <c r="D74" s="41" t="str">
        <f aca="false">IF(B74="","",(B74-C74)/B73-1)</f>
        <v/>
      </c>
      <c r="E74" s="38" t="str">
        <f aca="false">IF(B74="","",E73*(1+D74))</f>
        <v/>
      </c>
      <c r="F74" s="39" t="str">
        <f aca="false">IF(B74="","",-C74+IF(ROW()-5=$I$5,B74,0))</f>
        <v/>
      </c>
    </row>
    <row r="75" customFormat="false" ht="15" hidden="false" customHeight="false" outlineLevel="0" collapsed="false">
      <c r="A75" s="35"/>
      <c r="B75" s="36"/>
      <c r="C75" s="36"/>
      <c r="D75" s="41" t="str">
        <f aca="false">IF(B75="","",(B75-C75)/B74-1)</f>
        <v/>
      </c>
      <c r="E75" s="38" t="str">
        <f aca="false">IF(B75="","",E74*(1+D75))</f>
        <v/>
      </c>
      <c r="F75" s="39" t="str">
        <f aca="false">IF(B75="","",-C75+IF(ROW()-5=$I$5,B75,0))</f>
        <v/>
      </c>
    </row>
    <row r="76" customFormat="false" ht="15" hidden="false" customHeight="false" outlineLevel="0" collapsed="false">
      <c r="A76" s="35"/>
      <c r="B76" s="36"/>
      <c r="C76" s="36"/>
      <c r="D76" s="41" t="str">
        <f aca="false">IF(B76="","",(B76-C76)/B75-1)</f>
        <v/>
      </c>
      <c r="E76" s="38" t="str">
        <f aca="false">IF(B76="","",E75*(1+D76))</f>
        <v/>
      </c>
      <c r="F76" s="39" t="str">
        <f aca="false">IF(B76="","",-C76+IF(ROW()-5=$I$5,B76,0))</f>
        <v/>
      </c>
    </row>
    <row r="77" customFormat="false" ht="15" hidden="false" customHeight="false" outlineLevel="0" collapsed="false">
      <c r="A77" s="35"/>
      <c r="B77" s="36"/>
      <c r="C77" s="36"/>
      <c r="D77" s="41" t="str">
        <f aca="false">IF(B77="","",(B77-C77)/B76-1)</f>
        <v/>
      </c>
      <c r="E77" s="38" t="str">
        <f aca="false">IF(B77="","",E76*(1+D77))</f>
        <v/>
      </c>
      <c r="F77" s="39" t="str">
        <f aca="false">IF(B77="","",-C77+IF(ROW()-5=$I$5,B77,0))</f>
        <v/>
      </c>
    </row>
    <row r="78" customFormat="false" ht="15" hidden="false" customHeight="false" outlineLevel="0" collapsed="false">
      <c r="A78" s="35"/>
      <c r="B78" s="36"/>
      <c r="C78" s="36"/>
      <c r="D78" s="41" t="str">
        <f aca="false">IF(B78="","",(B78-C78)/B77-1)</f>
        <v/>
      </c>
      <c r="E78" s="38" t="str">
        <f aca="false">IF(B78="","",E77*(1+D78))</f>
        <v/>
      </c>
      <c r="F78" s="39" t="str">
        <f aca="false">IF(B78="","",-C78+IF(ROW()-5=$I$5,B78,0))</f>
        <v/>
      </c>
    </row>
    <row r="79" customFormat="false" ht="15" hidden="false" customHeight="false" outlineLevel="0" collapsed="false">
      <c r="A79" s="35"/>
      <c r="B79" s="36"/>
      <c r="C79" s="36"/>
      <c r="D79" s="41" t="str">
        <f aca="false">IF(B79="","",(B79-C79)/B78-1)</f>
        <v/>
      </c>
      <c r="E79" s="38" t="str">
        <f aca="false">IF(B79="","",E78*(1+D79))</f>
        <v/>
      </c>
      <c r="F79" s="39" t="str">
        <f aca="false">IF(B79="","",-C79+IF(ROW()-5=$I$5,B79,0))</f>
        <v/>
      </c>
    </row>
    <row r="80" customFormat="false" ht="15" hidden="false" customHeight="false" outlineLevel="0" collapsed="false">
      <c r="A80" s="35"/>
      <c r="B80" s="36"/>
      <c r="C80" s="36"/>
      <c r="D80" s="41" t="str">
        <f aca="false">IF(B80="","",(B80-C80)/B79-1)</f>
        <v/>
      </c>
      <c r="E80" s="38" t="str">
        <f aca="false">IF(B80="","",E79*(1+D80))</f>
        <v/>
      </c>
      <c r="F80" s="39" t="str">
        <f aca="false">IF(B80="","",-C80+IF(ROW()-5=$I$5,B80,0))</f>
        <v/>
      </c>
    </row>
    <row r="81" customFormat="false" ht="15" hidden="false" customHeight="false" outlineLevel="0" collapsed="false">
      <c r="A81" s="35"/>
      <c r="B81" s="36"/>
      <c r="C81" s="36"/>
      <c r="D81" s="41" t="str">
        <f aca="false">IF(B81="","",(B81-C81)/B80-1)</f>
        <v/>
      </c>
      <c r="E81" s="38" t="str">
        <f aca="false">IF(B81="","",E80*(1+D81))</f>
        <v/>
      </c>
      <c r="F81" s="39" t="str">
        <f aca="false">IF(B81="","",-C81+IF(ROW()-5=$I$5,B81,0))</f>
        <v/>
      </c>
    </row>
    <row r="82" customFormat="false" ht="15" hidden="false" customHeight="false" outlineLevel="0" collapsed="false">
      <c r="A82" s="35"/>
      <c r="B82" s="36"/>
      <c r="C82" s="36"/>
      <c r="D82" s="41" t="str">
        <f aca="false">IF(B82="","",(B82-C82)/B81-1)</f>
        <v/>
      </c>
      <c r="E82" s="38" t="str">
        <f aca="false">IF(B82="","",E81*(1+D82))</f>
        <v/>
      </c>
      <c r="F82" s="39" t="str">
        <f aca="false">IF(B82="","",-C82+IF(ROW()-5=$I$5,B82,0))</f>
        <v/>
      </c>
    </row>
    <row r="83" customFormat="false" ht="15" hidden="false" customHeight="false" outlineLevel="0" collapsed="false">
      <c r="A83" s="35"/>
      <c r="B83" s="36"/>
      <c r="C83" s="36"/>
      <c r="D83" s="41" t="str">
        <f aca="false">IF(B83="","",(B83-C83)/B82-1)</f>
        <v/>
      </c>
      <c r="E83" s="38" t="str">
        <f aca="false">IF(B83="","",E82*(1+D83))</f>
        <v/>
      </c>
      <c r="F83" s="39" t="str">
        <f aca="false">IF(B83="","",-C83+IF(ROW()-5=$I$5,B83,0))</f>
        <v/>
      </c>
    </row>
    <row r="84" customFormat="false" ht="15" hidden="false" customHeight="false" outlineLevel="0" collapsed="false">
      <c r="A84" s="35"/>
      <c r="B84" s="36"/>
      <c r="C84" s="36"/>
      <c r="D84" s="41" t="str">
        <f aca="false">IF(B84="","",(B84-C84)/B83-1)</f>
        <v/>
      </c>
      <c r="E84" s="38" t="str">
        <f aca="false">IF(B84="","",E83*(1+D84))</f>
        <v/>
      </c>
      <c r="F84" s="39" t="str">
        <f aca="false">IF(B84="","",-C84+IF(ROW()-5=$I$5,B84,0))</f>
        <v/>
      </c>
    </row>
    <row r="85" customFormat="false" ht="15" hidden="false" customHeight="false" outlineLevel="0" collapsed="false">
      <c r="A85" s="35"/>
      <c r="B85" s="36"/>
      <c r="C85" s="36"/>
      <c r="D85" s="41" t="str">
        <f aca="false">IF(B85="","",(B85-C85)/B84-1)</f>
        <v/>
      </c>
      <c r="E85" s="38" t="str">
        <f aca="false">IF(B85="","",E84*(1+D85))</f>
        <v/>
      </c>
      <c r="F85" s="39" t="str">
        <f aca="false">IF(B85="","",-C85+IF(ROW()-5=$I$5,B85,0))</f>
        <v/>
      </c>
    </row>
    <row r="86" customFormat="false" ht="15" hidden="false" customHeight="false" outlineLevel="0" collapsed="false">
      <c r="A86" s="35"/>
      <c r="B86" s="36"/>
      <c r="C86" s="36"/>
      <c r="D86" s="41" t="str">
        <f aca="false">IF(B86="","",(B86-C86)/B85-1)</f>
        <v/>
      </c>
      <c r="E86" s="38" t="str">
        <f aca="false">IF(B86="","",E85*(1+D86))</f>
        <v/>
      </c>
      <c r="F86" s="39" t="str">
        <f aca="false">IF(B86="","",-C86+IF(ROW()-5=$I$5,B86,0))</f>
        <v/>
      </c>
    </row>
    <row r="87" customFormat="false" ht="15" hidden="false" customHeight="false" outlineLevel="0" collapsed="false">
      <c r="A87" s="35"/>
      <c r="B87" s="36"/>
      <c r="C87" s="36"/>
      <c r="D87" s="41" t="str">
        <f aca="false">IF(B87="","",(B87-C87)/B86-1)</f>
        <v/>
      </c>
      <c r="E87" s="38" t="str">
        <f aca="false">IF(B87="","",E86*(1+D87))</f>
        <v/>
      </c>
      <c r="F87" s="39" t="str">
        <f aca="false">IF(B87="","",-C87+IF(ROW()-5=$I$5,B87,0))</f>
        <v/>
      </c>
    </row>
    <row r="88" customFormat="false" ht="15" hidden="false" customHeight="false" outlineLevel="0" collapsed="false">
      <c r="A88" s="35"/>
      <c r="B88" s="36"/>
      <c r="C88" s="36"/>
      <c r="D88" s="41" t="str">
        <f aca="false">IF(B88="","",(B88-C88)/B87-1)</f>
        <v/>
      </c>
      <c r="E88" s="38" t="str">
        <f aca="false">IF(B88="","",E87*(1+D88))</f>
        <v/>
      </c>
      <c r="F88" s="39" t="str">
        <f aca="false">IF(B88="","",-C88+IF(ROW()-5=$I$5,B88,0))</f>
        <v/>
      </c>
    </row>
    <row r="89" customFormat="false" ht="15" hidden="false" customHeight="false" outlineLevel="0" collapsed="false">
      <c r="A89" s="35"/>
      <c r="B89" s="36"/>
      <c r="C89" s="36"/>
      <c r="D89" s="41" t="str">
        <f aca="false">IF(B89="","",(B89-C89)/B88-1)</f>
        <v/>
      </c>
      <c r="E89" s="38" t="str">
        <f aca="false">IF(B89="","",E88*(1+D89))</f>
        <v/>
      </c>
      <c r="F89" s="39" t="str">
        <f aca="false">IF(B89="","",-C89+IF(ROW()-5=$I$5,B89,0))</f>
        <v/>
      </c>
    </row>
    <row r="90" customFormat="false" ht="15" hidden="false" customHeight="false" outlineLevel="0" collapsed="false">
      <c r="A90" s="35"/>
      <c r="B90" s="36"/>
      <c r="C90" s="36"/>
      <c r="D90" s="41" t="str">
        <f aca="false">IF(B90="","",(B90-C90)/B89-1)</f>
        <v/>
      </c>
      <c r="E90" s="38" t="str">
        <f aca="false">IF(B90="","",E89*(1+D90))</f>
        <v/>
      </c>
      <c r="F90" s="39" t="str">
        <f aca="false">IF(B90="","",-C90+IF(ROW()-5=$I$5,B90,0))</f>
        <v/>
      </c>
    </row>
    <row r="91" customFormat="false" ht="15" hidden="false" customHeight="false" outlineLevel="0" collapsed="false">
      <c r="A91" s="35"/>
      <c r="B91" s="36"/>
      <c r="C91" s="36"/>
      <c r="D91" s="41" t="str">
        <f aca="false">IF(B91="","",(B91-C91)/B90-1)</f>
        <v/>
      </c>
      <c r="E91" s="38" t="str">
        <f aca="false">IF(B91="","",E90*(1+D91))</f>
        <v/>
      </c>
      <c r="F91" s="39" t="str">
        <f aca="false">IF(B91="","",-C91+IF(ROW()-5=$I$5,B91,0))</f>
        <v/>
      </c>
    </row>
    <row r="92" customFormat="false" ht="15" hidden="false" customHeight="false" outlineLevel="0" collapsed="false">
      <c r="A92" s="35"/>
      <c r="B92" s="36"/>
      <c r="C92" s="36"/>
      <c r="D92" s="41" t="str">
        <f aca="false">IF(B92="","",(B92-C92)/B91-1)</f>
        <v/>
      </c>
      <c r="E92" s="38" t="str">
        <f aca="false">IF(B92="","",E91*(1+D92))</f>
        <v/>
      </c>
      <c r="F92" s="39" t="str">
        <f aca="false">IF(B92="","",-C92+IF(ROW()-5=$I$5,B92,0))</f>
        <v/>
      </c>
    </row>
    <row r="93" customFormat="false" ht="15" hidden="false" customHeight="false" outlineLevel="0" collapsed="false">
      <c r="A93" s="35"/>
      <c r="B93" s="36"/>
      <c r="C93" s="36"/>
      <c r="D93" s="41" t="str">
        <f aca="false">IF(B93="","",(B93-C93)/B92-1)</f>
        <v/>
      </c>
      <c r="E93" s="38" t="str">
        <f aca="false">IF(B93="","",E92*(1+D93))</f>
        <v/>
      </c>
      <c r="F93" s="39" t="str">
        <f aca="false">IF(B93="","",-C93+IF(ROW()-5=$I$5,B93,0))</f>
        <v/>
      </c>
    </row>
    <row r="94" customFormat="false" ht="15" hidden="false" customHeight="false" outlineLevel="0" collapsed="false">
      <c r="A94" s="35"/>
      <c r="B94" s="36"/>
      <c r="C94" s="36"/>
      <c r="D94" s="41" t="str">
        <f aca="false">IF(B94="","",(B94-C94)/B93-1)</f>
        <v/>
      </c>
      <c r="E94" s="38" t="str">
        <f aca="false">IF(B94="","",E93*(1+D94))</f>
        <v/>
      </c>
      <c r="F94" s="39" t="str">
        <f aca="false">IF(B94="","",-C94+IF(ROW()-5=$I$5,B94,0))</f>
        <v/>
      </c>
    </row>
    <row r="95" customFormat="false" ht="15" hidden="false" customHeight="false" outlineLevel="0" collapsed="false">
      <c r="A95" s="35"/>
      <c r="B95" s="36"/>
      <c r="C95" s="36"/>
      <c r="D95" s="41" t="str">
        <f aca="false">IF(B95="","",(B95-C95)/B94-1)</f>
        <v/>
      </c>
      <c r="E95" s="38" t="str">
        <f aca="false">IF(B95="","",E94*(1+D95))</f>
        <v/>
      </c>
      <c r="F95" s="39" t="str">
        <f aca="false">IF(B95="","",-C95+IF(ROW()-5=$I$5,B95,0))</f>
        <v/>
      </c>
    </row>
    <row r="96" customFormat="false" ht="15" hidden="false" customHeight="false" outlineLevel="0" collapsed="false">
      <c r="A96" s="35"/>
      <c r="B96" s="36"/>
      <c r="C96" s="36"/>
      <c r="D96" s="41" t="str">
        <f aca="false">IF(B96="","",(B96-C96)/B95-1)</f>
        <v/>
      </c>
      <c r="E96" s="38" t="str">
        <f aca="false">IF(B96="","",E95*(1+D96))</f>
        <v/>
      </c>
      <c r="F96" s="39" t="str">
        <f aca="false">IF(B96="","",-C96+IF(ROW()-5=$I$5,B96,0))</f>
        <v/>
      </c>
    </row>
    <row r="97" customFormat="false" ht="15" hidden="false" customHeight="false" outlineLevel="0" collapsed="false">
      <c r="A97" s="35"/>
      <c r="B97" s="36"/>
      <c r="C97" s="36"/>
      <c r="D97" s="41" t="str">
        <f aca="false">IF(B97="","",(B97-C97)/B96-1)</f>
        <v/>
      </c>
      <c r="E97" s="38" t="str">
        <f aca="false">IF(B97="","",E96*(1+D97))</f>
        <v/>
      </c>
      <c r="F97" s="39" t="str">
        <f aca="false">IF(B97="","",-C97+IF(ROW()-5=$I$5,B97,0))</f>
        <v/>
      </c>
    </row>
    <row r="98" customFormat="false" ht="15" hidden="false" customHeight="false" outlineLevel="0" collapsed="false">
      <c r="A98" s="35"/>
      <c r="B98" s="36"/>
      <c r="C98" s="36"/>
      <c r="D98" s="41" t="str">
        <f aca="false">IF(B98="","",(B98-C98)/B97-1)</f>
        <v/>
      </c>
      <c r="E98" s="38" t="str">
        <f aca="false">IF(B98="","",E97*(1+D98))</f>
        <v/>
      </c>
      <c r="F98" s="39" t="str">
        <f aca="false">IF(B98="","",-C98+IF(ROW()-5=$I$5,B98,0))</f>
        <v/>
      </c>
    </row>
    <row r="99" customFormat="false" ht="15" hidden="false" customHeight="false" outlineLevel="0" collapsed="false">
      <c r="A99" s="35"/>
      <c r="B99" s="36"/>
      <c r="C99" s="36"/>
      <c r="D99" s="41" t="str">
        <f aca="false">IF(B99="","",(B99-C99)/B98-1)</f>
        <v/>
      </c>
      <c r="E99" s="38" t="str">
        <f aca="false">IF(B99="","",E98*(1+D99))</f>
        <v/>
      </c>
      <c r="F99" s="39" t="str">
        <f aca="false">IF(B99="","",-C99+IF(ROW()-5=$I$5,B99,0))</f>
        <v/>
      </c>
    </row>
    <row r="100" customFormat="false" ht="15" hidden="false" customHeight="false" outlineLevel="0" collapsed="false">
      <c r="A100" s="35"/>
      <c r="B100" s="36"/>
      <c r="C100" s="36"/>
      <c r="D100" s="41" t="str">
        <f aca="false">IF(B100="","",(B100-C100)/B99-1)</f>
        <v/>
      </c>
      <c r="E100" s="38" t="str">
        <f aca="false">IF(B100="","",E99*(1+D100))</f>
        <v/>
      </c>
      <c r="F100" s="39" t="str">
        <f aca="false">IF(B100="","",-C100+IF(ROW()-5=$I$5,B100,0))</f>
        <v/>
      </c>
    </row>
    <row r="101" customFormat="false" ht="15" hidden="false" customHeight="false" outlineLevel="0" collapsed="false">
      <c r="A101" s="35"/>
      <c r="B101" s="36"/>
      <c r="C101" s="36"/>
      <c r="D101" s="41" t="str">
        <f aca="false">IF(B101="","",(B101-C101)/B100-1)</f>
        <v/>
      </c>
      <c r="E101" s="38" t="str">
        <f aca="false">IF(B101="","",E100*(1+D101))</f>
        <v/>
      </c>
      <c r="F101" s="39" t="str">
        <f aca="false">IF(B101="","",-C101+IF(ROW()-5=$I$5,B101,0))</f>
        <v/>
      </c>
    </row>
    <row r="102" customFormat="false" ht="15" hidden="false" customHeight="false" outlineLevel="0" collapsed="false">
      <c r="A102" s="35"/>
      <c r="B102" s="36"/>
      <c r="C102" s="36"/>
      <c r="D102" s="41" t="str">
        <f aca="false">IF(B102="","",(B102-C102)/B101-1)</f>
        <v/>
      </c>
      <c r="E102" s="38" t="str">
        <f aca="false">IF(B102="","",E101*(1+D102))</f>
        <v/>
      </c>
      <c r="F102" s="39" t="str">
        <f aca="false">IF(B102="","",-C102+IF(ROW()-5=$I$5,B102,0))</f>
        <v/>
      </c>
    </row>
    <row r="103" customFormat="false" ht="15" hidden="false" customHeight="false" outlineLevel="0" collapsed="false">
      <c r="A103" s="35"/>
      <c r="B103" s="36"/>
      <c r="C103" s="36"/>
      <c r="D103" s="41" t="str">
        <f aca="false">IF(B103="","",(B103-C103)/B102-1)</f>
        <v/>
      </c>
      <c r="E103" s="38" t="str">
        <f aca="false">IF(B103="","",E102*(1+D103))</f>
        <v/>
      </c>
      <c r="F103" s="39" t="str">
        <f aca="false">IF(B103="","",-C103+IF(ROW()-5=$I$5,B103,0))</f>
        <v/>
      </c>
    </row>
    <row r="104" customFormat="false" ht="15" hidden="false" customHeight="false" outlineLevel="0" collapsed="false">
      <c r="A104" s="35"/>
      <c r="B104" s="36"/>
      <c r="C104" s="36"/>
      <c r="D104" s="41" t="str">
        <f aca="false">IF(B104="","",(B104-C104)/B103-1)</f>
        <v/>
      </c>
      <c r="E104" s="38" t="str">
        <f aca="false">IF(B104="","",E103*(1+D104))</f>
        <v/>
      </c>
      <c r="F104" s="39" t="str">
        <f aca="false">IF(B104="","",-C104+IF(ROW()-5=$I$5,B104,0))</f>
        <v/>
      </c>
    </row>
    <row r="105" customFormat="false" ht="15" hidden="false" customHeight="false" outlineLevel="0" collapsed="false">
      <c r="A105" s="35"/>
      <c r="B105" s="36"/>
      <c r="C105" s="36"/>
      <c r="D105" s="41" t="str">
        <f aca="false">IF(B105="","",(B105-C105)/B104-1)</f>
        <v/>
      </c>
      <c r="E105" s="38" t="str">
        <f aca="false">IF(B105="","",E104*(1+D105))</f>
        <v/>
      </c>
      <c r="F105" s="39" t="str">
        <f aca="false">IF(B105="","",-C105+IF(ROW()-5=$I$5,B105,0))</f>
        <v/>
      </c>
    </row>
    <row r="106" customFormat="false" ht="15" hidden="false" customHeight="false" outlineLevel="0" collapsed="false">
      <c r="A106" s="35"/>
      <c r="B106" s="36"/>
      <c r="C106" s="36"/>
      <c r="D106" s="41" t="str">
        <f aca="false">IF(B106="","",(B106-C106)/B105-1)</f>
        <v/>
      </c>
      <c r="E106" s="38" t="str">
        <f aca="false">IF(B106="","",E105*(1+D106))</f>
        <v/>
      </c>
      <c r="F106" s="39" t="str">
        <f aca="false">IF(B106="","",-C106+IF(ROW()-5=$I$5,B106,0))</f>
        <v/>
      </c>
    </row>
    <row r="107" customFormat="false" ht="15" hidden="false" customHeight="false" outlineLevel="0" collapsed="false">
      <c r="A107" s="35"/>
      <c r="B107" s="36"/>
      <c r="C107" s="36"/>
      <c r="D107" s="41" t="str">
        <f aca="false">IF(B107="","",(B107-C107)/B106-1)</f>
        <v/>
      </c>
      <c r="E107" s="38" t="str">
        <f aca="false">IF(B107="","",E106*(1+D107))</f>
        <v/>
      </c>
      <c r="F107" s="39" t="str">
        <f aca="false">IF(B107="","",-C107+IF(ROW()-5=$I$5,B107,0))</f>
        <v/>
      </c>
    </row>
    <row r="108" customFormat="false" ht="15" hidden="false" customHeight="false" outlineLevel="0" collapsed="false">
      <c r="A108" s="35"/>
      <c r="B108" s="36"/>
      <c r="C108" s="36"/>
      <c r="D108" s="41" t="str">
        <f aca="false">IF(B108="","",(B108-C108)/B107-1)</f>
        <v/>
      </c>
      <c r="E108" s="38" t="str">
        <f aca="false">IF(B108="","",E107*(1+D108))</f>
        <v/>
      </c>
      <c r="F108" s="39" t="str">
        <f aca="false">IF(B108="","",-C108+IF(ROW()-5=$I$5,B108,0))</f>
        <v/>
      </c>
    </row>
    <row r="109" customFormat="false" ht="15" hidden="false" customHeight="false" outlineLevel="0" collapsed="false">
      <c r="A109" s="35"/>
      <c r="B109" s="36"/>
      <c r="C109" s="36"/>
      <c r="D109" s="41" t="str">
        <f aca="false">IF(B109="","",(B109-C109)/B108-1)</f>
        <v/>
      </c>
      <c r="E109" s="38" t="str">
        <f aca="false">IF(B109="","",E108*(1+D109))</f>
        <v/>
      </c>
      <c r="F109" s="39" t="str">
        <f aca="false">IF(B109="","",-C109+IF(ROW()-5=$I$5,B109,0))</f>
        <v/>
      </c>
    </row>
    <row r="110" customFormat="false" ht="15" hidden="false" customHeight="false" outlineLevel="0" collapsed="false">
      <c r="A110" s="35"/>
      <c r="B110" s="36"/>
      <c r="C110" s="36"/>
      <c r="D110" s="41" t="str">
        <f aca="false">IF(B110="","",(B110-C110)/B109-1)</f>
        <v/>
      </c>
      <c r="E110" s="38" t="str">
        <f aca="false">IF(B110="","",E109*(1+D110))</f>
        <v/>
      </c>
      <c r="F110" s="39" t="str">
        <f aca="false">IF(B110="","",-C110+IF(ROW()-5=$I$5,B110,0))</f>
        <v/>
      </c>
    </row>
    <row r="111" customFormat="false" ht="15" hidden="false" customHeight="false" outlineLevel="0" collapsed="false">
      <c r="A111" s="35"/>
      <c r="B111" s="36"/>
      <c r="C111" s="36"/>
      <c r="D111" s="41" t="str">
        <f aca="false">IF(B111="","",(B111-C111)/B110-1)</f>
        <v/>
      </c>
      <c r="E111" s="38" t="str">
        <f aca="false">IF(B111="","",E110*(1+D111))</f>
        <v/>
      </c>
      <c r="F111" s="39" t="str">
        <f aca="false">IF(B111="","",-C111+IF(ROW()-5=$I$5,B111,0))</f>
        <v/>
      </c>
    </row>
    <row r="112" customFormat="false" ht="15" hidden="false" customHeight="false" outlineLevel="0" collapsed="false">
      <c r="A112" s="35"/>
      <c r="B112" s="36"/>
      <c r="C112" s="36"/>
      <c r="D112" s="41" t="str">
        <f aca="false">IF(B112="","",(B112-C112)/B111-1)</f>
        <v/>
      </c>
      <c r="E112" s="38" t="str">
        <f aca="false">IF(B112="","",E111*(1+D112))</f>
        <v/>
      </c>
      <c r="F112" s="39" t="str">
        <f aca="false">IF(B112="","",-C112+IF(ROW()-5=$I$5,B112,0))</f>
        <v/>
      </c>
    </row>
    <row r="113" customFormat="false" ht="15" hidden="false" customHeight="false" outlineLevel="0" collapsed="false">
      <c r="A113" s="35"/>
      <c r="B113" s="36"/>
      <c r="C113" s="36"/>
      <c r="D113" s="41" t="str">
        <f aca="false">IF(B113="","",(B113-C113)/B112-1)</f>
        <v/>
      </c>
      <c r="E113" s="38" t="str">
        <f aca="false">IF(B113="","",E112*(1+D113))</f>
        <v/>
      </c>
      <c r="F113" s="39" t="str">
        <f aca="false">IF(B113="","",-C113+IF(ROW()-5=$I$5,B113,0))</f>
        <v/>
      </c>
    </row>
    <row r="114" customFormat="false" ht="15" hidden="false" customHeight="false" outlineLevel="0" collapsed="false">
      <c r="A114" s="35"/>
      <c r="B114" s="36"/>
      <c r="C114" s="36"/>
      <c r="D114" s="41" t="str">
        <f aca="false">IF(B114="","",(B114-C114)/B113-1)</f>
        <v/>
      </c>
      <c r="E114" s="38" t="str">
        <f aca="false">IF(B114="","",E113*(1+D114))</f>
        <v/>
      </c>
      <c r="F114" s="39" t="str">
        <f aca="false">IF(B114="","",-C114+IF(ROW()-5=$I$5,B114,0))</f>
        <v/>
      </c>
    </row>
    <row r="115" customFormat="false" ht="15" hidden="false" customHeight="false" outlineLevel="0" collapsed="false">
      <c r="A115" s="35"/>
      <c r="B115" s="36"/>
      <c r="C115" s="36"/>
      <c r="D115" s="41" t="str">
        <f aca="false">IF(B115="","",(B115-C115)/B114-1)</f>
        <v/>
      </c>
      <c r="E115" s="38" t="str">
        <f aca="false">IF(B115="","",E114*(1+D115))</f>
        <v/>
      </c>
      <c r="F115" s="39" t="str">
        <f aca="false">IF(B115="","",-C115+IF(ROW()-5=$I$5,B115,0))</f>
        <v/>
      </c>
    </row>
    <row r="116" customFormat="false" ht="15" hidden="false" customHeight="false" outlineLevel="0" collapsed="false">
      <c r="A116" s="35"/>
      <c r="B116" s="36"/>
      <c r="C116" s="36"/>
      <c r="D116" s="41" t="str">
        <f aca="false">IF(B116="","",(B116-C116)/B115-1)</f>
        <v/>
      </c>
      <c r="E116" s="38" t="str">
        <f aca="false">IF(B116="","",E115*(1+D116))</f>
        <v/>
      </c>
      <c r="F116" s="39" t="str">
        <f aca="false">IF(B116="","",-C116+IF(ROW()-5=$I$5,B116,0))</f>
        <v/>
      </c>
    </row>
    <row r="117" customFormat="false" ht="15" hidden="false" customHeight="false" outlineLevel="0" collapsed="false">
      <c r="A117" s="35"/>
      <c r="B117" s="36"/>
      <c r="C117" s="36"/>
      <c r="D117" s="41" t="str">
        <f aca="false">IF(B117="","",(B117-C117)/B116-1)</f>
        <v/>
      </c>
      <c r="E117" s="38" t="str">
        <f aca="false">IF(B117="","",E116*(1+D117))</f>
        <v/>
      </c>
      <c r="F117" s="39" t="str">
        <f aca="false">IF(B117="","",-C117+IF(ROW()-5=$I$5,B117,0))</f>
        <v/>
      </c>
    </row>
    <row r="118" customFormat="false" ht="15" hidden="false" customHeight="false" outlineLevel="0" collapsed="false">
      <c r="A118" s="35"/>
      <c r="B118" s="36"/>
      <c r="C118" s="36"/>
      <c r="D118" s="41" t="str">
        <f aca="false">IF(B118="","",(B118-C118)/B117-1)</f>
        <v/>
      </c>
      <c r="E118" s="38" t="str">
        <f aca="false">IF(B118="","",E117*(1+D118))</f>
        <v/>
      </c>
      <c r="F118" s="39" t="str">
        <f aca="false">IF(B118="","",-C118+IF(ROW()-5=$I$5,B118,0))</f>
        <v/>
      </c>
    </row>
    <row r="119" customFormat="false" ht="15" hidden="false" customHeight="false" outlineLevel="0" collapsed="false">
      <c r="A119" s="35"/>
      <c r="B119" s="36"/>
      <c r="C119" s="36"/>
      <c r="D119" s="41" t="str">
        <f aca="false">IF(B119="","",(B119-C119)/B118-1)</f>
        <v/>
      </c>
      <c r="E119" s="38" t="str">
        <f aca="false">IF(B119="","",E118*(1+D119))</f>
        <v/>
      </c>
      <c r="F119" s="39" t="str">
        <f aca="false">IF(B119="","",-C119+IF(ROW()-5=$I$5,B119,0))</f>
        <v/>
      </c>
    </row>
    <row r="120" customFormat="false" ht="15" hidden="false" customHeight="false" outlineLevel="0" collapsed="false">
      <c r="A120" s="35"/>
      <c r="B120" s="36"/>
      <c r="C120" s="36"/>
      <c r="D120" s="41" t="str">
        <f aca="false">IF(B120="","",(B120-C120)/B119-1)</f>
        <v/>
      </c>
      <c r="E120" s="38" t="str">
        <f aca="false">IF(B120="","",E119*(1+D120))</f>
        <v/>
      </c>
      <c r="F120" s="39" t="str">
        <f aca="false">IF(B120="","",-C120+IF(ROW()-5=$I$5,B120,0))</f>
        <v/>
      </c>
    </row>
    <row r="121" customFormat="false" ht="15" hidden="false" customHeight="false" outlineLevel="0" collapsed="false">
      <c r="A121" s="35"/>
      <c r="B121" s="36"/>
      <c r="C121" s="36"/>
      <c r="D121" s="41" t="str">
        <f aca="false">IF(B121="","",(B121-C121)/B120-1)</f>
        <v/>
      </c>
      <c r="E121" s="38" t="str">
        <f aca="false">IF(B121="","",E120*(1+D121))</f>
        <v/>
      </c>
      <c r="F121" s="39" t="str">
        <f aca="false">IF(B121="","",-C121+IF(ROW()-5=$I$5,B121,0))</f>
        <v/>
      </c>
    </row>
    <row r="122" customFormat="false" ht="15" hidden="false" customHeight="false" outlineLevel="0" collapsed="false">
      <c r="A122" s="35"/>
      <c r="B122" s="36"/>
      <c r="C122" s="36"/>
      <c r="D122" s="41" t="str">
        <f aca="false">IF(B122="","",(B122-C122)/B121-1)</f>
        <v/>
      </c>
      <c r="E122" s="38" t="str">
        <f aca="false">IF(B122="","",E121*(1+D122))</f>
        <v/>
      </c>
      <c r="F122" s="39" t="str">
        <f aca="false">IF(B122="","",-C122+IF(ROW()-5=$I$5,B122,0))</f>
        <v/>
      </c>
    </row>
    <row r="123" customFormat="false" ht="15" hidden="false" customHeight="false" outlineLevel="0" collapsed="false">
      <c r="A123" s="35"/>
      <c r="B123" s="36"/>
      <c r="C123" s="36"/>
      <c r="D123" s="41" t="str">
        <f aca="false">IF(B123="","",(B123-C123)/B122-1)</f>
        <v/>
      </c>
      <c r="E123" s="38" t="str">
        <f aca="false">IF(B123="","",E122*(1+D123))</f>
        <v/>
      </c>
      <c r="F123" s="39" t="str">
        <f aca="false">IF(B123="","",-C123+IF(ROW()-5=$I$5,B123,0))</f>
        <v/>
      </c>
    </row>
    <row r="124" customFormat="false" ht="15" hidden="false" customHeight="false" outlineLevel="0" collapsed="false">
      <c r="A124" s="35"/>
      <c r="B124" s="36"/>
      <c r="C124" s="36"/>
      <c r="D124" s="41" t="str">
        <f aca="false">IF(B124="","",(B124-C124)/B123-1)</f>
        <v/>
      </c>
      <c r="E124" s="38" t="str">
        <f aca="false">IF(B124="","",E123*(1+D124))</f>
        <v/>
      </c>
      <c r="F124" s="39" t="str">
        <f aca="false">IF(B124="","",-C124+IF(ROW()-5=$I$5,B124,0))</f>
        <v/>
      </c>
    </row>
    <row r="125" customFormat="false" ht="15" hidden="false" customHeight="false" outlineLevel="0" collapsed="false">
      <c r="A125" s="35"/>
      <c r="B125" s="36"/>
      <c r="C125" s="36"/>
      <c r="D125" s="41" t="str">
        <f aca="false">IF(B125="","",(B125-C125)/B124-1)</f>
        <v/>
      </c>
      <c r="E125" s="38" t="str">
        <f aca="false">IF(B125="","",E124*(1+D125))</f>
        <v/>
      </c>
      <c r="F125" s="39" t="str">
        <f aca="false">IF(B125="","",-C125+IF(ROW()-5=$I$5,B125,0))</f>
        <v/>
      </c>
    </row>
  </sheetData>
  <mergeCells count="2">
    <mergeCell ref="A1:F1"/>
    <mergeCell ref="A2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2026-06-25T14:18:21Z</dcterms:created>
  <dc:creator>openpyxl</dc:creator>
  <dc:description/>
  <dc:language>en-US</dc:language>
  <cp:lastModifiedBy/>
  <dcterms:modified xsi:type="dcterms:W3CDTF">2026-10-21T03:25:36Z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