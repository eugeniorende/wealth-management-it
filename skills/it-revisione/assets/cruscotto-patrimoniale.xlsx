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nio" sheetId="1" state="visible" r:id="rId3"/>
    <sheet name="Allocazione" sheetId="2" state="visible" r:id="rId4"/>
    <sheet name="Andamento" sheetId="3" state="visible" r:id="rId5"/>
    <sheet name="Sintesi" sheetId="4" state="visible" r:id="rId6"/>
    <sheet name="Azioni" sheetId="5" state="visible" r:id="rId7"/>
    <sheet name="Rendimento TW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<sst xmlns="http://schemas.openxmlformats.org/spreadsheetml/2006/main" count="148" uniqueCount="139">
  <si>
    <t xml:space="preserve">Patrimonio netto — per contenitore fiscale</t>
  </si>
  <si>
    <t xml:space="preserve">Compila le celle BLU con i valori a oggi. Il netto e le quote sono calcolati. I contenitori richiamano la reference asset-location.</t>
  </si>
  <si>
    <t xml:space="preserve">Voce</t>
  </si>
  <si>
    <t xml:space="preserve">Valore</t>
  </si>
  <si>
    <t xml:space="preserve">% del netto</t>
  </si>
  <si>
    <t xml:space="preserve">ATTIVITÀ</t>
  </si>
  <si>
    <t xml:space="preserve">Dossier titoli (ETF, azioni, obbligazioni)</t>
  </si>
  <si>
    <t xml:space="preserve">Fondo pensione complementare</t>
  </si>
  <si>
    <t xml:space="preserve">Conto deposito</t>
  </si>
  <si>
    <t xml:space="preserve">Liquidità (conto corrente)</t>
  </si>
  <si>
    <t xml:space="preserve">Polizze vita / altri prodotti</t>
  </si>
  <si>
    <t xml:space="preserve">Immobili (valore di mercato)</t>
  </si>
  <si>
    <t xml:space="preserve">Cripto-attività</t>
  </si>
  <si>
    <t xml:space="preserve">Altro</t>
  </si>
  <si>
    <t xml:space="preserve">Totale attività</t>
  </si>
  <si>
    <t xml:space="preserve">PASSIVITÀ</t>
  </si>
  <si>
    <t xml:space="preserve">Mutuo (debito residuo)</t>
  </si>
  <si>
    <t xml:space="preserve">Altri prestiti</t>
  </si>
  <si>
    <t xml:space="preserve">Totale passività</t>
  </si>
  <si>
    <t xml:space="preserve">PATRIMONIO NETTO</t>
  </si>
  <si>
    <t xml:space="preserve">Allocazione: attuale vs target</t>
  </si>
  <si>
    <t xml:space="preserve">Inserisci l'importo per classe e il target %. Il drift e l'eventuale segnale di ribilanciamento sono calcolati. Il target lo dà il glide path aggregato degli obiettivi.</t>
  </si>
  <si>
    <t xml:space="preserve">Classe</t>
  </si>
  <si>
    <t xml:space="preserve">% attuale</t>
  </si>
  <si>
    <t xml:space="preserve">% target</t>
  </si>
  <si>
    <t xml:space="preserve">Drift / azione</t>
  </si>
  <si>
    <t xml:space="preserve">Azionario</t>
  </si>
  <si>
    <t xml:space="preserve">Obbligazionario</t>
  </si>
  <si>
    <t xml:space="preserve">Liquidità / monetario</t>
  </si>
  <si>
    <t xml:space="preserve">Immobiliare</t>
  </si>
  <si>
    <t xml:space="preserve">Alternativi / altro</t>
  </si>
  <si>
    <t xml:space="preserve">Totale</t>
  </si>
  <si>
    <t xml:space="preserve">Banda di ribilanciamento (±)</t>
  </si>
  <si>
    <t xml:space="preserve">oltre questa soglia di drift, valuta il ribilanciamento</t>
  </si>
  <si>
    <t xml:space="preserve">Il ribilanciamento più efficiente sfrutta i flussi (versamenti verso la classe sottopesata) e,</t>
  </si>
  <si>
    <t xml:space="preserve">a fine anno, le minusvalenze in scadenza per compensare le plus da vendita del sovrappeso.</t>
  </si>
  <si>
    <t xml:space="preserve">Vedi it-rebalance/coordinamento-zainetto.md e it-tax-optimization.</t>
  </si>
  <si>
    <t xml:space="preserve">Andamento del periodo — versamenti vs mercato</t>
  </si>
  <si>
    <t xml:space="preserve">Il punto chiave: il saldo cresce per i tuoi versamenti E per il mercato. Questo foglio li separa, così sai quanto hai davvero reso. Tutto sullo stesso periodo (di norma un anno).</t>
  </si>
  <si>
    <t xml:space="preserve">Saldo a inizio periodo</t>
  </si>
  <si>
    <t xml:space="preserve">patrimonio investito all'inizio</t>
  </si>
  <si>
    <t xml:space="preserve">Saldo a fine periodo</t>
  </si>
  <si>
    <t xml:space="preserve">patrimonio investito alla fine</t>
  </si>
  <si>
    <t xml:space="preserve">Versamenti netti del periodo</t>
  </si>
  <si>
    <t xml:space="preserve">versato meno prelevato (negativo se hai prelevato)</t>
  </si>
  <si>
    <t xml:space="preserve">Variazione del saldo</t>
  </si>
  <si>
    <t xml:space="preserve">di cui RENDIMENTO di mercato</t>
  </si>
  <si>
    <t xml:space="preserve">variazione meno versamenti: è ciò che ha reso il portafoglio</t>
  </si>
  <si>
    <t xml:space="preserve">di cui versamenti</t>
  </si>
  <si>
    <t xml:space="preserve">non è rendimento: sono soldi tuoi messi da parte</t>
  </si>
  <si>
    <t xml:space="preserve">Base di calcolo (Dietz)</t>
  </si>
  <si>
    <t xml:space="preserve">capitale medio investito nel periodo</t>
  </si>
  <si>
    <t xml:space="preserve">Rendimento % (money-weighted)</t>
  </si>
  <si>
    <t xml:space="preserve">il TUO rendimento, pesato per quando hai versato</t>
  </si>
  <si>
    <t xml:space="preserve">Inflazione del periodo</t>
  </si>
  <si>
    <t xml:space="preserve">Rendimento % reale</t>
  </si>
  <si>
    <t xml:space="preserve">al netto dell'inflazione: il potere d'acquisto guadagnato</t>
  </si>
  <si>
    <t xml:space="preserve">PERCHÉ CONTA: se hai versato €9.000 e il saldo è salito di €18.000, NON hai reso €18.000.</t>
  </si>
  <si>
    <t xml:space="preserve">Metà è denaro tuo. Il rendimento vero è la parte di mercato (qui €9.000), e in percentuale va</t>
  </si>
  <si>
    <t xml:space="preserve">rapportato al capitale medio investito, non al saldo finale. Questo è un rendimento</t>
  </si>
  <si>
    <t xml:space="preserve">'money-weighted' semplificato (metodo Dietz): misura il risultato del TUO capitale. Per giudicare</t>
  </si>
  <si>
    <t xml:space="preserve">la bravura della strategia a prescindere dai flussi serve invece il time-weighted return,</t>
  </si>
  <si>
    <t xml:space="preserve">più complesso da calcolare a mano. Vedi metodo-revisione.md.</t>
  </si>
  <si>
    <t xml:space="preserve">Sintesi: obiettivi e pensione</t>
  </si>
  <si>
    <t xml:space="preserve">Riassunto dell'avanzamento, da compilare tirando i numeri dagli strumenti dedicati (pianificatore-obiettivi.xlsx, proiezione-pensione.xlsx). Non ricalcola: fa il punto.</t>
  </si>
  <si>
    <t xml:space="preserve">OBIETTIVI</t>
  </si>
  <si>
    <t xml:space="preserve">Obiettivo</t>
  </si>
  <si>
    <t xml:space="preserve">Capitale attuale</t>
  </si>
  <si>
    <t xml:space="preserve">Target</t>
  </si>
  <si>
    <t xml:space="preserve">% completam.</t>
  </si>
  <si>
    <t xml:space="preserve">Prob. successo (MC)</t>
  </si>
  <si>
    <t xml:space="preserve">Stato</t>
  </si>
  <si>
    <t xml:space="preserve">Fondo emergenza</t>
  </si>
  <si>
    <t xml:space="preserve">Università figli</t>
  </si>
  <si>
    <t xml:space="preserve">PENSIONE</t>
  </si>
  <si>
    <t xml:space="preserve">Tasso di sostituzione proiettato</t>
  </si>
  <si>
    <t xml:space="preserve">da proiezione-pensione.xlsx (o autonomi)</t>
  </si>
  <si>
    <t xml:space="preserve">Tasso di sostituzione obiettivo</t>
  </si>
  <si>
    <t xml:space="preserve">quanto del reddito vuoi mantenere</t>
  </si>
  <si>
    <t xml:space="preserve">Gap previdenziale</t>
  </si>
  <si>
    <t xml:space="preserve">se &gt;0, valuta di aumentare il versamento al fondo pensione</t>
  </si>
  <si>
    <t xml:space="preserve">COME LEGGERLO: un obiettivo 'A rischio' o un gap previdenziale positivo sono le voci ad</t>
  </si>
  <si>
    <t xml:space="preserve">impatto strutturale — agire presto vale più che agire tanto. Le azioni con SCADENZA (minus a</t>
  </si>
  <si>
    <t xml:space="preserve">fine anno, versamento fondo pensione entro il 31/12 per la deduzione) vanno comunque prima.</t>
  </si>
  <si>
    <t xml:space="preserve">La revisione tiene insieme le due cose: priorità per scadenza, poi per impatto. Vedi la skill it-revisione.</t>
  </si>
  <si>
    <t xml:space="preserve">Azioni — tracker della revisione</t>
  </si>
  <si>
    <t xml:space="preserve">Le azioni emerse dalla revisione, ordinate per priorità. Logica: prima le SCADENZE (minus a fine anno, versamento fondo pensione entro il 31/12), poi l'IMPATTO strutturale (gap previdenziale, obiettivo a rischio), infine la MANUTENZIONE. Cerca le azioni CROSS-DOMINIO.</t>
  </si>
  <si>
    <t xml:space="preserve">Azione</t>
  </si>
  <si>
    <t xml:space="preserve">Dominio</t>
  </si>
  <si>
    <t xml:space="preserve">Priorità</t>
  </si>
  <si>
    <t xml:space="preserve">Scadenza</t>
  </si>
  <si>
    <t xml:space="preserve">Note</t>
  </si>
  <si>
    <t xml:space="preserve">Ribilanciare vendendo il sovrappeso azionario in plus, compensando con le minus 2022 in scadenza</t>
  </si>
  <si>
    <t xml:space="preserve">cross-dominio</t>
  </si>
  <si>
    <t xml:space="preserve">31/12</t>
  </si>
  <si>
    <t xml:space="preserve">Da fare</t>
  </si>
  <si>
    <t xml:space="preserve">fisco + allocazione in un colpo solo</t>
  </si>
  <si>
    <t xml:space="preserve">Versare al fondo pensione per colmare il gap previdenziale (deduzione entro il 31/12)</t>
  </si>
  <si>
    <t xml:space="preserve">pensione</t>
  </si>
  <si>
    <t xml:space="preserve">Scadenza/Impatto</t>
  </si>
  <si>
    <t xml:space="preserve">gap di sostituzione ~0,15</t>
  </si>
  <si>
    <t xml:space="preserve">Indirizzare il versamento annuale verso l'obbligazionario sottopesato</t>
  </si>
  <si>
    <t xml:space="preserve">allocazione</t>
  </si>
  <si>
    <t xml:space="preserve">Manutenzione</t>
  </si>
  <si>
    <t xml:space="preserve">—</t>
  </si>
  <si>
    <t xml:space="preserve">ribilancia via flussi, nessun realizzo</t>
  </si>
  <si>
    <t xml:space="preserve">Rivedere la probabilità Monte Carlo dell'obiettivo università</t>
  </si>
  <si>
    <t xml:space="preserve">obiettivi</t>
  </si>
  <si>
    <t xml:space="preserve">Impatto</t>
  </si>
  <si>
    <t xml:space="preserve">prossima revisione</t>
  </si>
  <si>
    <t xml:space="preserve">era 'Da monitorare'</t>
  </si>
  <si>
    <t xml:space="preserve">Legenda priorità</t>
  </si>
  <si>
    <t xml:space="preserve">• SCADENZA: ha una data limite (minus in scadenza al 31/12, versamento fondo pensione per la deduzione dell'anno). Va fatta entro quella data, prima di tutto.</t>
  </si>
  <si>
    <t xml:space="preserve">• IMPATTO: alto effetto strutturale di lungo periodo (gap previdenziale, obiettivo a rischio). Agire presto vale più che agire tanto.</t>
  </si>
  <si>
    <t xml:space="preserve">• MANUTENZIONE: utile ma raramente urgente (ribilanciamento entro le bande, de-risking del glide path).</t>
  </si>
  <si>
    <t xml:space="preserve">Rendimento time-weighted (TWR) vs money-weighted (MWR)</t>
  </si>
  <si>
    <t xml:space="preserve">Il TWR incatena i rendimenti dei sotto-periodi tra un flusso e l'altro: misura la STRATEGIA a prescindere da QUANDO hai versato — è il numero da confrontare con un benchmark. Il MWR (qui via XIRR, esatto) pesa per i flussi: è come sono andati i TUOI euro. La differenza è l'effetto del timing dei versamenti. Compila le colonne BLU (una riga per data di rilevazione).</t>
  </si>
  <si>
    <t xml:space="preserve">Data</t>
  </si>
  <si>
    <t xml:space="preserve">Valore portaf. (€)</t>
  </si>
  <si>
    <t xml:space="preserve">Flusso netto (€)</t>
  </si>
  <si>
    <t xml:space="preserve">Rend. sotto-periodo</t>
  </si>
  <si>
    <t xml:space="preserve">Indice cumulato</t>
  </si>
  <si>
    <t xml:space="preserve">Flusso per XIRR</t>
  </si>
  <si>
    <t xml:space="preserve">TWR del periodo</t>
  </si>
  <si>
    <t xml:space="preserve">rendimento composto della strategia, flussi neutralizzati</t>
  </si>
  <si>
    <t xml:space="preserve">Giorni nel periodo</t>
  </si>
  <si>
    <t xml:space="preserve">durata della finestra in giorni</t>
  </si>
  <si>
    <t xml:space="preserve">TWR annualizzato</t>
  </si>
  <si>
    <t xml:space="preserve">il numero da confrontare con un benchmark (es. 60/40)</t>
  </si>
  <si>
    <t xml:space="preserve">MWR annualizzato (XIRR)</t>
  </si>
  <si>
    <t xml:space="preserve">Differenza (TWR - MWR)</t>
  </si>
  <si>
    <t xml:space="preserve">effetto del TIMING dei flussi: &gt;0 i versamenti hanno 'sbagliato' tempi; &lt;0 li hanno azzeccati</t>
  </si>
  <si>
    <t xml:space="preserve">COME LEGGERLI:</t>
  </si>
  <si>
    <t xml:space="preserve">• Confronta il TWR annualizzato con un benchmark (es. un indice 60/40): dice se la STRATEGIA</t>
  </si>
  <si>
    <t xml:space="preserve">  ha fatto meglio o peggio del mercato, senza l'inquinamento di quando hai messo i soldi.</t>
  </si>
  <si>
    <t xml:space="preserve">• Confronta TWR e MWR tra loro: se MWR &lt; TWR, i tuoi versamenti sono caduti prima di periodi</t>
  </si>
  <si>
    <t xml:space="preserve">  deboli (timing sfortunato/sbagliato); se MWR &gt; TWR, hai versato prima dei rialzi.</t>
  </si>
  <si>
    <t xml:space="preserve">• Il money-weighted del foglio Andamento è la versione semplice (Dietz) sul periodo aggregato;</t>
  </si>
  <si>
    <t xml:space="preserve">  qui il MWR è esatto (XIRR sui flussi datati) e il TWR è quello vero. Vedi metodo-revisione.md.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</si>
</sst>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;&quot;(€&quot;#,##0\);\-"/>
    <numFmt numFmtId="166" formatCode="0.0%;\(0.0%\);\-"/>
    <numFmt numFmtId="167" formatCode="0.00%;\(0.00%\);\-"/>
    <numFmt numFmtId="168" formatCode="yyyy\-mm\-dd"/>
    <numFmt numFmtId="169" formatCode="#,##0"/>
    <numFmt numFmtId="170" formatCode="0.0000"/>
    <numFmt numFmtId="171" formatCode="0.0%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E7E6E6"/>
        <bgColor rgb="FFE2EFDA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7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13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5"/>
      <c r="C5" s="5"/>
    </row>
    <row r="6" customFormat="false" ht="15" hidden="false" customHeight="true" outlineLevel="0" collapsed="false">
      <c r="A6" s="6" t="s">
        <v>6</v>
      </c>
      <c r="B6" s="7" t="n">
        <v>40000</v>
      </c>
      <c r="C6" s="8" t="n">
        <f aca="false">IF($B$21&gt;0,B6/$B$21,0)</f>
        <v>0.625</v>
      </c>
    </row>
    <row r="7" customFormat="false" ht="15" hidden="false" customHeight="true" outlineLevel="0" collapsed="false">
      <c r="A7" s="6" t="s">
        <v>7</v>
      </c>
      <c r="B7" s="7" t="n">
        <v>8000</v>
      </c>
      <c r="C7" s="8" t="n">
        <f aca="false">IF($B$21&gt;0,B7/$B$21,0)</f>
        <v>0.125</v>
      </c>
    </row>
    <row r="8" customFormat="false" ht="15" hidden="false" customHeight="true" outlineLevel="0" collapsed="false">
      <c r="A8" s="6" t="s">
        <v>8</v>
      </c>
      <c r="B8" s="7" t="n">
        <v>10000</v>
      </c>
      <c r="C8" s="8" t="n">
        <f aca="false">IF($B$21&gt;0,B8/$B$21,0)</f>
        <v>0.15625</v>
      </c>
    </row>
    <row r="9" customFormat="false" ht="15" hidden="false" customHeight="true" outlineLevel="0" collapsed="false">
      <c r="A9" s="6" t="s">
        <v>9</v>
      </c>
      <c r="B9" s="7" t="n">
        <v>6000</v>
      </c>
      <c r="C9" s="8" t="n">
        <f aca="false">IF($B$21&gt;0,B9/$B$21,0)</f>
        <v>0.09375</v>
      </c>
    </row>
    <row r="10" customFormat="false" ht="15" hidden="false" customHeight="true" outlineLevel="0" collapsed="false">
      <c r="A10" s="6" t="s">
        <v>10</v>
      </c>
      <c r="B10" s="7" t="n">
        <v>0</v>
      </c>
      <c r="C10" s="8" t="n">
        <f aca="false">IF($B$21&gt;0,B10/$B$21,0)</f>
        <v>0</v>
      </c>
    </row>
    <row r="11" customFormat="false" ht="15" hidden="false" customHeight="true" outlineLevel="0" collapsed="false">
      <c r="A11" s="6" t="s">
        <v>11</v>
      </c>
      <c r="B11" s="7" t="n">
        <v>0</v>
      </c>
      <c r="C11" s="8" t="n">
        <f aca="false">IF($B$21&gt;0,B11/$B$21,0)</f>
        <v>0</v>
      </c>
    </row>
    <row r="12" customFormat="false" ht="15" hidden="false" customHeight="true" outlineLevel="0" collapsed="false">
      <c r="A12" s="6" t="s">
        <v>12</v>
      </c>
      <c r="B12" s="7" t="n">
        <v>0</v>
      </c>
      <c r="C12" s="8" t="n">
        <f aca="false">IF($B$21&gt;0,B12/$B$21,0)</f>
        <v>0</v>
      </c>
    </row>
    <row r="13" customFormat="false" ht="15" hidden="false" customHeight="true" outlineLevel="0" collapsed="false">
      <c r="A13" s="6" t="s">
        <v>13</v>
      </c>
      <c r="B13" s="7" t="n">
        <v>0</v>
      </c>
      <c r="C13" s="8" t="n">
        <f aca="false">IF($B$21&gt;0,B13/$B$21,0)</f>
        <v>0</v>
      </c>
    </row>
    <row r="14" customFormat="false" ht="15" hidden="false" customHeight="true" outlineLevel="0" collapsed="false">
      <c r="A14" s="9" t="s">
        <v>14</v>
      </c>
      <c r="B14" s="10" t="n">
        <f aca="false">SUM(B6:B13)</f>
        <v>64000</v>
      </c>
    </row>
    <row r="16" customFormat="false" ht="15" hidden="false" customHeight="true" outlineLevel="0" collapsed="false">
      <c r="A16" s="5" t="s">
        <v>15</v>
      </c>
      <c r="B16" s="5"/>
      <c r="C16" s="5"/>
    </row>
    <row r="17" customFormat="false" ht="15" hidden="false" customHeight="true" outlineLevel="0" collapsed="false">
      <c r="A17" s="6" t="s">
        <v>16</v>
      </c>
      <c r="B17" s="7" t="n">
        <v>0</v>
      </c>
    </row>
    <row r="18" customFormat="false" ht="15" hidden="false" customHeight="true" outlineLevel="0" collapsed="false">
      <c r="A18" s="6" t="s">
        <v>17</v>
      </c>
      <c r="B18" s="7" t="n">
        <v>0</v>
      </c>
    </row>
    <row r="19" customFormat="false" ht="15" hidden="false" customHeight="true" outlineLevel="0" collapsed="false">
      <c r="A19" s="9" t="s">
        <v>18</v>
      </c>
      <c r="B19" s="10" t="n">
        <f aca="false">SUM(B17:B18)</f>
        <v>0</v>
      </c>
    </row>
    <row r="21" customFormat="false" ht="17.25" hidden="false" customHeight="true" outlineLevel="0" collapsed="false">
      <c r="A21" s="11" t="s">
        <v>19</v>
      </c>
      <c r="B21" s="12" t="n">
        <f aca="false">B14-B19</f>
        <v>64000</v>
      </c>
    </row>
  </sheetData>
  <mergeCells count="4">
    <mergeCell ref="A1:C1"/>
    <mergeCell ref="A2:C2"/>
    <mergeCell ref="A5:C5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4"/>
    <col collapsed="false" customWidth="true" hidden="false" outlineLevel="0" max="4" min="3" style="1" width="11"/>
    <col collapsed="false" customWidth="true" hidden="false" outlineLevel="0" max="5" min="5" style="1" width="34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</row>
    <row r="2" customFormat="false" ht="15" hidden="false" customHeight="true" outlineLevel="0" collapsed="false">
      <c r="A2" s="3" t="s">
        <v>21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22</v>
      </c>
      <c r="B4" s="4" t="s">
        <v>3</v>
      </c>
      <c r="C4" s="4" t="s">
        <v>23</v>
      </c>
      <c r="D4" s="4" t="s">
        <v>24</v>
      </c>
      <c r="E4" s="4" t="s">
        <v>25</v>
      </c>
    </row>
    <row r="5" customFormat="false" ht="15" hidden="false" customHeight="true" outlineLevel="0" collapsed="false">
      <c r="A5" s="6" t="s">
        <v>26</v>
      </c>
      <c r="B5" s="7" t="n">
        <v>32000</v>
      </c>
      <c r="C5" s="8" t="n">
        <f aca="false">IF($B$10&gt;0,B5/$B$10,0)</f>
        <v>0.5</v>
      </c>
      <c r="D5" s="13" t="n">
        <v>0.55</v>
      </c>
      <c r="E5" s="14" t="str">
        <f aca="false">IF(ABS(C5-D5)&gt;$B$12,IF(C5&gt;D5,"Sovrappeso "&amp;TEXT(C5-D5,"0.0%")&amp;" — alleggerire","Sottopeso "&amp;TEXT(D5-C5,"0.0%")&amp;" — rafforzare"),"in banda")</f>
        <v>in banda</v>
      </c>
    </row>
    <row r="6" customFormat="false" ht="15" hidden="false" customHeight="true" outlineLevel="0" collapsed="false">
      <c r="A6" s="6" t="s">
        <v>27</v>
      </c>
      <c r="B6" s="7" t="n">
        <v>16000</v>
      </c>
      <c r="C6" s="8" t="n">
        <f aca="false">IF($B$10&gt;0,B6/$B$10,0)</f>
        <v>0.25</v>
      </c>
      <c r="D6" s="13" t="n">
        <v>0.25</v>
      </c>
      <c r="E6" s="14" t="str">
        <f aca="false">IF(ABS(C6-D6)&gt;$B$12,IF(C6&gt;D6,"Sovrappeso "&amp;TEXT(C6-D6,"0.0%")&amp;" — alleggerire","Sottopeso "&amp;TEXT(D6-C6,"0.0%")&amp;" — rafforzare"),"in banda")</f>
        <v>in banda</v>
      </c>
    </row>
    <row r="7" customFormat="false" ht="15" hidden="false" customHeight="true" outlineLevel="0" collapsed="false">
      <c r="A7" s="6" t="s">
        <v>28</v>
      </c>
      <c r="B7" s="7" t="n">
        <v>16000</v>
      </c>
      <c r="C7" s="8" t="n">
        <f aca="false">IF($B$10&gt;0,B7/$B$10,0)</f>
        <v>0.25</v>
      </c>
      <c r="D7" s="13" t="n">
        <v>0.15</v>
      </c>
      <c r="E7" s="14" t="str">
        <f aca="false">IF(ABS(C7-D7)&gt;$B$12,IF(C7&gt;D7,"Sovrappeso "&amp;TEXT(C7-D7,"0.0%")&amp;" — alleggerire","Sottopeso "&amp;TEXT(D7-C7,"0.0%")&amp;" — rafforzare"),"in banda")</f>
        <v>Sovrappeso 10.0% — alleggerire</v>
      </c>
    </row>
    <row r="8" customFormat="false" ht="15" hidden="false" customHeight="true" outlineLevel="0" collapsed="false">
      <c r="A8" s="6" t="s">
        <v>29</v>
      </c>
      <c r="B8" s="7" t="n">
        <v>0</v>
      </c>
      <c r="C8" s="8" t="n">
        <f aca="false">IF($B$10&gt;0,B8/$B$10,0)</f>
        <v>0</v>
      </c>
      <c r="D8" s="13" t="n">
        <v>0</v>
      </c>
      <c r="E8" s="14" t="str">
        <f aca="false">IF(ABS(C8-D8)&gt;$B$12,IF(C8&gt;D8,"Sovrappeso "&amp;TEXT(C8-D8,"0.0%")&amp;" — alleggerire","Sottopeso "&amp;TEXT(D8-C8,"0.0%")&amp;" — rafforzare"),"in banda")</f>
        <v>in banda</v>
      </c>
    </row>
    <row r="9" customFormat="false" ht="15" hidden="false" customHeight="true" outlineLevel="0" collapsed="false">
      <c r="A9" s="6" t="s">
        <v>30</v>
      </c>
      <c r="B9" s="7" t="n">
        <v>0</v>
      </c>
      <c r="C9" s="8" t="n">
        <f aca="false">IF($B$10&gt;0,B9/$B$10,0)</f>
        <v>0</v>
      </c>
      <c r="D9" s="13" t="n">
        <v>0.05</v>
      </c>
      <c r="E9" s="14" t="str">
        <f aca="false">IF(ABS(C9-D9)&gt;$B$12,IF(C9&gt;D9,"Sovrappeso "&amp;TEXT(C9-D9,"0.0%")&amp;" — alleggerire","Sottopeso "&amp;TEXT(D9-C9,"0.0%")&amp;" — rafforzare"),"in banda")</f>
        <v>in banda</v>
      </c>
    </row>
    <row r="10" customFormat="false" ht="15" hidden="false" customHeight="true" outlineLevel="0" collapsed="false">
      <c r="A10" s="9" t="s">
        <v>31</v>
      </c>
      <c r="B10" s="10" t="n">
        <f aca="false">SUM(B5:B9)</f>
        <v>64000</v>
      </c>
      <c r="D10" s="15" t="n">
        <f aca="false">SUM(D5:D9)</f>
        <v>1</v>
      </c>
    </row>
    <row r="12" customFormat="false" ht="15" hidden="false" customHeight="true" outlineLevel="0" collapsed="false">
      <c r="A12" s="6" t="s">
        <v>32</v>
      </c>
      <c r="B12" s="13" t="n">
        <v>0.05</v>
      </c>
      <c r="C12" s="3" t="s">
        <v>33</v>
      </c>
      <c r="D12" s="3"/>
      <c r="E12" s="3"/>
    </row>
    <row r="14" customFormat="false" ht="15" hidden="false" customHeight="true" outlineLevel="0" collapsed="false">
      <c r="A14" s="16" t="s">
        <v>34</v>
      </c>
      <c r="B14" s="16"/>
      <c r="C14" s="16"/>
      <c r="D14" s="16"/>
      <c r="E14" s="16"/>
    </row>
    <row r="15" customFormat="false" ht="15" hidden="false" customHeight="true" outlineLevel="0" collapsed="false">
      <c r="A15" s="16" t="s">
        <v>35</v>
      </c>
      <c r="B15" s="16"/>
      <c r="C15" s="16"/>
      <c r="D15" s="16"/>
      <c r="E15" s="16"/>
    </row>
    <row r="16" customFormat="false" ht="15" hidden="false" customHeight="true" outlineLevel="0" collapsed="false">
      <c r="A16" s="16" t="s">
        <v>36</v>
      </c>
      <c r="B16" s="16"/>
      <c r="C16" s="16"/>
      <c r="D16" s="16"/>
      <c r="E16" s="16"/>
    </row>
  </sheetData>
  <mergeCells count="6">
    <mergeCell ref="A1:E1"/>
    <mergeCell ref="A2:E2"/>
    <mergeCell ref="C12:E12"/>
    <mergeCell ref="A14:E14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5"/>
    <col collapsed="false" customWidth="true" hidden="false" outlineLevel="0" max="3" min="3" style="1" width="46"/>
  </cols>
  <sheetData>
    <row r="1" customFormat="false" ht="17.25" hidden="false" customHeight="true" outlineLevel="0" collapsed="false">
      <c r="A1" s="2" t="s">
        <v>37</v>
      </c>
      <c r="B1" s="2"/>
      <c r="C1" s="2"/>
    </row>
    <row r="2" customFormat="false" ht="15" hidden="false" customHeight="true" outlineLevel="0" collapsed="false">
      <c r="A2" s="3" t="s">
        <v>38</v>
      </c>
      <c r="B2" s="3"/>
      <c r="C2" s="3"/>
    </row>
    <row r="4" customFormat="false" ht="15" hidden="false" customHeight="true" outlineLevel="0" collapsed="false">
      <c r="A4" s="6" t="s">
        <v>39</v>
      </c>
      <c r="B4" s="7" t="n">
        <v>70000</v>
      </c>
      <c r="C4" s="17" t="s">
        <v>40</v>
      </c>
    </row>
    <row r="5" customFormat="false" ht="15" hidden="false" customHeight="true" outlineLevel="0" collapsed="false">
      <c r="A5" s="6" t="s">
        <v>41</v>
      </c>
      <c r="B5" s="7" t="n">
        <v>88000</v>
      </c>
      <c r="C5" s="17" t="s">
        <v>42</v>
      </c>
    </row>
    <row r="6" customFormat="false" ht="15" hidden="false" customHeight="true" outlineLevel="0" collapsed="false">
      <c r="A6" s="6" t="s">
        <v>43</v>
      </c>
      <c r="B6" s="7" t="n">
        <v>9000</v>
      </c>
      <c r="C6" s="17" t="s">
        <v>44</v>
      </c>
    </row>
    <row r="8" customFormat="false" ht="15" hidden="false" customHeight="true" outlineLevel="0" collapsed="false">
      <c r="A8" s="9" t="s">
        <v>45</v>
      </c>
      <c r="B8" s="18" t="n">
        <f aca="false">B5-B4</f>
        <v>18000</v>
      </c>
    </row>
    <row r="9" customFormat="false" ht="15" hidden="false" customHeight="true" outlineLevel="0" collapsed="false">
      <c r="A9" s="9" t="s">
        <v>46</v>
      </c>
      <c r="B9" s="19" t="n">
        <f aca="false">B8-B6</f>
        <v>9000</v>
      </c>
      <c r="C9" s="17" t="s">
        <v>47</v>
      </c>
    </row>
    <row r="10" customFormat="false" ht="15" hidden="false" customHeight="true" outlineLevel="0" collapsed="false">
      <c r="A10" s="6" t="s">
        <v>48</v>
      </c>
      <c r="B10" s="20" t="n">
        <f aca="false">B6</f>
        <v>9000</v>
      </c>
      <c r="C10" s="17" t="s">
        <v>49</v>
      </c>
    </row>
    <row r="12" customFormat="false" ht="15" hidden="false" customHeight="true" outlineLevel="0" collapsed="false">
      <c r="A12" s="6" t="s">
        <v>50</v>
      </c>
      <c r="B12" s="20" t="n">
        <f aca="false">B4+B6/2</f>
        <v>74500</v>
      </c>
      <c r="C12" s="17" t="s">
        <v>51</v>
      </c>
    </row>
    <row r="13" customFormat="false" ht="15" hidden="false" customHeight="true" outlineLevel="0" collapsed="false">
      <c r="A13" s="9" t="s">
        <v>52</v>
      </c>
      <c r="B13" s="21" t="n">
        <f aca="false">IF(B12&gt;0,B9/B12,0)</f>
        <v>0.120805369127517</v>
      </c>
      <c r="C13" s="17" t="s">
        <v>53</v>
      </c>
    </row>
    <row r="14" customFormat="false" ht="15" hidden="false" customHeight="true" outlineLevel="0" collapsed="false">
      <c r="A14" s="6" t="s">
        <v>54</v>
      </c>
      <c r="B14" s="22" t="n">
        <v>0.02</v>
      </c>
    </row>
    <row r="15" customFormat="false" ht="15" hidden="false" customHeight="true" outlineLevel="0" collapsed="false">
      <c r="A15" s="9" t="s">
        <v>55</v>
      </c>
      <c r="B15" s="23" t="n">
        <f aca="false">(1+B13)/(1+B14)-1</f>
        <v>0.0988287932622713</v>
      </c>
      <c r="C15" s="17" t="s">
        <v>56</v>
      </c>
    </row>
    <row r="17" customFormat="false" ht="15" hidden="false" customHeight="true" outlineLevel="0" collapsed="false">
      <c r="A17" s="16" t="s">
        <v>57</v>
      </c>
      <c r="B17" s="16"/>
      <c r="C17" s="16"/>
    </row>
    <row r="18" customFormat="false" ht="15" hidden="false" customHeight="true" outlineLevel="0" collapsed="false">
      <c r="A18" s="16" t="s">
        <v>58</v>
      </c>
      <c r="B18" s="16"/>
      <c r="C18" s="16"/>
    </row>
    <row r="19" customFormat="false" ht="15" hidden="false" customHeight="true" outlineLevel="0" collapsed="false">
      <c r="A19" s="16" t="s">
        <v>59</v>
      </c>
      <c r="B19" s="16"/>
      <c r="C19" s="16"/>
    </row>
    <row r="20" customFormat="false" ht="15" hidden="false" customHeight="true" outlineLevel="0" collapsed="false">
      <c r="A20" s="16" t="s">
        <v>60</v>
      </c>
      <c r="B20" s="16"/>
      <c r="C20" s="16"/>
    </row>
    <row r="21" customFormat="false" ht="15" hidden="false" customHeight="true" outlineLevel="0" collapsed="false">
      <c r="A21" s="16" t="s">
        <v>61</v>
      </c>
      <c r="B21" s="16"/>
      <c r="C21" s="16"/>
    </row>
    <row r="22" customFormat="false" ht="15" hidden="false" customHeight="true" outlineLevel="0" collapsed="false">
      <c r="A22" s="16" t="s">
        <v>62</v>
      </c>
      <c r="B22" s="16"/>
      <c r="C22" s="16"/>
    </row>
  </sheetData>
  <mergeCells count="8">
    <mergeCell ref="A1:C1"/>
    <mergeCell ref="A2:C2"/>
    <mergeCell ref="A17:C17"/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7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63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64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5" t="s">
        <v>65</v>
      </c>
      <c r="B4" s="5"/>
      <c r="C4" s="5"/>
      <c r="D4" s="5"/>
      <c r="E4" s="5"/>
      <c r="F4" s="5"/>
    </row>
    <row r="5" customFormat="false" ht="15" hidden="false" customHeight="true" outlineLevel="0" collapsed="false">
      <c r="A5" s="4" t="s">
        <v>66</v>
      </c>
      <c r="B5" s="4" t="s">
        <v>67</v>
      </c>
      <c r="C5" s="4" t="s">
        <v>68</v>
      </c>
      <c r="D5" s="4" t="s">
        <v>69</v>
      </c>
      <c r="E5" s="4" t="s">
        <v>70</v>
      </c>
      <c r="F5" s="4" t="s">
        <v>71</v>
      </c>
    </row>
    <row r="6" customFormat="false" ht="15" hidden="false" customHeight="true" outlineLevel="0" collapsed="false">
      <c r="A6" s="24" t="s">
        <v>72</v>
      </c>
      <c r="B6" s="7" t="n">
        <v>8500</v>
      </c>
      <c r="C6" s="7" t="n">
        <v>12000</v>
      </c>
      <c r="D6" s="8" t="n">
        <f aca="false">IF(C6&gt;0,B6/C6,0)</f>
        <v>0.708333333333333</v>
      </c>
      <c r="E6" s="13" t="n">
        <v>0.85</v>
      </c>
      <c r="F6" s="25" t="str">
        <f aca="false">IF(C6=0,"",IF(E6&gt;=0.7,"On track",IF(E6&gt;=0.5,"Da monitorare","A rischio")))</f>
        <v>On track</v>
      </c>
    </row>
    <row r="7" customFormat="false" ht="15" hidden="false" customHeight="true" outlineLevel="0" collapsed="false">
      <c r="A7" s="24" t="s">
        <v>73</v>
      </c>
      <c r="B7" s="7" t="n">
        <v>50000</v>
      </c>
      <c r="C7" s="7" t="n">
        <v>80000</v>
      </c>
      <c r="D7" s="8" t="n">
        <f aca="false">IF(C7&gt;0,B7/C7,0)</f>
        <v>0.625</v>
      </c>
      <c r="E7" s="13" t="n">
        <v>0.54</v>
      </c>
      <c r="F7" s="25" t="str">
        <f aca="false">IF(C7=0,"",IF(E7&gt;=0.7,"On track",IF(E7&gt;=0.5,"Da monitorare","A rischio")))</f>
        <v>Da monitorare</v>
      </c>
    </row>
    <row r="8" customFormat="false" ht="15" hidden="false" customHeight="true" outlineLevel="0" collapsed="false">
      <c r="A8" s="24"/>
      <c r="B8" s="7" t="n">
        <v>0</v>
      </c>
      <c r="C8" s="7" t="n">
        <v>0</v>
      </c>
      <c r="D8" s="8" t="n">
        <f aca="false">IF(C8&gt;0,B8/C8,0)</f>
        <v>0</v>
      </c>
      <c r="E8" s="13" t="n">
        <v>0</v>
      </c>
      <c r="F8" s="25" t="str">
        <f aca="false">IF(C8=0,"",IF(E8&gt;=0.7,"On track",IF(E8&gt;=0.5,"Da monitorare","A rischio")))</f>
        <v/>
      </c>
    </row>
    <row r="9" customFormat="false" ht="15" hidden="false" customHeight="true" outlineLevel="0" collapsed="false">
      <c r="A9" s="24"/>
      <c r="B9" s="7" t="n">
        <v>0</v>
      </c>
      <c r="C9" s="7" t="n">
        <v>0</v>
      </c>
      <c r="D9" s="8" t="n">
        <f aca="false">IF(C9&gt;0,B9/C9,0)</f>
        <v>0</v>
      </c>
      <c r="E9" s="13" t="n">
        <v>0</v>
      </c>
      <c r="F9" s="25" t="str">
        <f aca="false">IF(C9=0,"",IF(E9&gt;=0.7,"On track",IF(E9&gt;=0.5,"Da monitorare","A rischio")))</f>
        <v/>
      </c>
    </row>
    <row r="11" customFormat="false" ht="15" hidden="false" customHeight="true" outlineLevel="0" collapsed="false">
      <c r="A11" s="5" t="s">
        <v>74</v>
      </c>
      <c r="B11" s="5"/>
      <c r="C11" s="5"/>
      <c r="D11" s="5"/>
      <c r="E11" s="5"/>
      <c r="F11" s="5"/>
    </row>
    <row r="12" customFormat="false" ht="15" hidden="false" customHeight="true" outlineLevel="0" collapsed="false">
      <c r="A12" s="6" t="s">
        <v>75</v>
      </c>
      <c r="B12" s="13" t="n">
        <v>0.55</v>
      </c>
      <c r="C12" s="3" t="s">
        <v>76</v>
      </c>
      <c r="D12" s="3"/>
      <c r="E12" s="3"/>
      <c r="F12" s="3"/>
    </row>
    <row r="13" customFormat="false" ht="15" hidden="false" customHeight="true" outlineLevel="0" collapsed="false">
      <c r="A13" s="6" t="s">
        <v>77</v>
      </c>
      <c r="B13" s="13" t="n">
        <v>0.7</v>
      </c>
      <c r="C13" s="3" t="s">
        <v>78</v>
      </c>
      <c r="D13" s="3"/>
      <c r="E13" s="3"/>
      <c r="F13" s="3"/>
    </row>
    <row r="14" customFormat="false" ht="15" hidden="false" customHeight="true" outlineLevel="0" collapsed="false">
      <c r="A14" s="6" t="s">
        <v>79</v>
      </c>
      <c r="B14" s="26" t="n">
        <f aca="false">MAX(0,B13-B12)</f>
        <v>0.15</v>
      </c>
      <c r="C14" s="3" t="s">
        <v>80</v>
      </c>
      <c r="D14" s="3"/>
      <c r="E14" s="3"/>
      <c r="F14" s="3"/>
    </row>
    <row r="16" customFormat="false" ht="15" hidden="false" customHeight="true" outlineLevel="0" collapsed="false">
      <c r="A16" s="16" t="s">
        <v>81</v>
      </c>
      <c r="B16" s="16"/>
      <c r="C16" s="16"/>
      <c r="D16" s="16"/>
      <c r="E16" s="16"/>
      <c r="F16" s="16"/>
    </row>
    <row r="17" customFormat="false" ht="15" hidden="false" customHeight="true" outlineLevel="0" collapsed="false">
      <c r="A17" s="16" t="s">
        <v>82</v>
      </c>
      <c r="B17" s="16"/>
      <c r="C17" s="16"/>
      <c r="D17" s="16"/>
      <c r="E17" s="16"/>
      <c r="F17" s="16"/>
    </row>
    <row r="18" customFormat="false" ht="15" hidden="false" customHeight="true" outlineLevel="0" collapsed="false">
      <c r="A18" s="16" t="s">
        <v>83</v>
      </c>
      <c r="B18" s="16"/>
      <c r="C18" s="16"/>
      <c r="D18" s="16"/>
      <c r="E18" s="16"/>
      <c r="F18" s="16"/>
    </row>
    <row r="19" customFormat="false" ht="15" hidden="false" customHeight="true" outlineLevel="0" collapsed="false">
      <c r="A19" s="16" t="s">
        <v>84</v>
      </c>
      <c r="B19" s="16"/>
      <c r="C19" s="16"/>
      <c r="D19" s="16"/>
      <c r="E19" s="16"/>
      <c r="F19" s="16"/>
    </row>
  </sheetData>
  <mergeCells count="11">
    <mergeCell ref="A1:F1"/>
    <mergeCell ref="A2:F2"/>
    <mergeCell ref="A4:F4"/>
    <mergeCell ref="A11:F11"/>
    <mergeCell ref="C12:F12"/>
    <mergeCell ref="C13:F13"/>
    <mergeCell ref="C14:F14"/>
    <mergeCell ref="A16:F16"/>
    <mergeCell ref="A17:F17"/>
    <mergeCell ref="A18:F18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17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30"/>
  </cols>
  <sheetData>
    <row r="1" customFormat="false" ht="17.25" hidden="false" customHeight="true" outlineLevel="0" collapsed="false">
      <c r="A1" s="2" t="s">
        <v>85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86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87</v>
      </c>
      <c r="B4" s="4" t="s">
        <v>88</v>
      </c>
      <c r="C4" s="4" t="s">
        <v>89</v>
      </c>
      <c r="D4" s="4" t="s">
        <v>90</v>
      </c>
      <c r="E4" s="4" t="s">
        <v>71</v>
      </c>
      <c r="F4" s="4" t="s">
        <v>91</v>
      </c>
    </row>
    <row r="5" customFormat="false" ht="23.25" hidden="false" customHeight="true" outlineLevel="0" collapsed="false">
      <c r="A5" s="27" t="s">
        <v>92</v>
      </c>
      <c r="B5" s="28" t="s">
        <v>93</v>
      </c>
      <c r="C5" s="28" t="s">
        <v>90</v>
      </c>
      <c r="D5" s="28" t="s">
        <v>94</v>
      </c>
      <c r="E5" s="28" t="s">
        <v>95</v>
      </c>
      <c r="F5" s="27" t="s">
        <v>96</v>
      </c>
    </row>
    <row r="6" customFormat="false" ht="23.25" hidden="false" customHeight="true" outlineLevel="0" collapsed="false">
      <c r="A6" s="27" t="s">
        <v>97</v>
      </c>
      <c r="B6" s="28" t="s">
        <v>98</v>
      </c>
      <c r="C6" s="28" t="s">
        <v>99</v>
      </c>
      <c r="D6" s="28" t="s">
        <v>94</v>
      </c>
      <c r="E6" s="28" t="s">
        <v>95</v>
      </c>
      <c r="F6" s="27" t="s">
        <v>100</v>
      </c>
    </row>
    <row r="7" customFormat="false" ht="23.25" hidden="false" customHeight="true" outlineLevel="0" collapsed="false">
      <c r="A7" s="27" t="s">
        <v>101</v>
      </c>
      <c r="B7" s="28" t="s">
        <v>102</v>
      </c>
      <c r="C7" s="28" t="s">
        <v>103</v>
      </c>
      <c r="D7" s="28" t="s">
        <v>104</v>
      </c>
      <c r="E7" s="28" t="s">
        <v>95</v>
      </c>
      <c r="F7" s="27" t="s">
        <v>105</v>
      </c>
    </row>
    <row r="8" customFormat="false" ht="15" hidden="false" customHeight="true" outlineLevel="0" collapsed="false">
      <c r="A8" s="27" t="s">
        <v>106</v>
      </c>
      <c r="B8" s="28" t="s">
        <v>107</v>
      </c>
      <c r="C8" s="28" t="s">
        <v>108</v>
      </c>
      <c r="D8" s="28" t="s">
        <v>109</v>
      </c>
      <c r="E8" s="28" t="s">
        <v>95</v>
      </c>
      <c r="F8" s="27" t="s">
        <v>110</v>
      </c>
    </row>
    <row r="9" customFormat="false" ht="15" hidden="false" customHeight="true" outlineLevel="0" collapsed="false">
      <c r="A9" s="29"/>
      <c r="B9" s="30"/>
      <c r="C9" s="30"/>
      <c r="D9" s="30"/>
      <c r="E9" s="30"/>
      <c r="F9" s="29"/>
    </row>
    <row r="10" customFormat="false" ht="15" hidden="false" customHeight="true" outlineLevel="0" collapsed="false">
      <c r="A10" s="29"/>
      <c r="B10" s="30"/>
      <c r="C10" s="30"/>
      <c r="D10" s="30"/>
      <c r="E10" s="30"/>
      <c r="F10" s="29"/>
    </row>
    <row r="12" customFormat="false" ht="15" hidden="false" customHeight="true" outlineLevel="0" collapsed="false">
      <c r="A12" s="31" t="s">
        <v>111</v>
      </c>
      <c r="B12" s="31"/>
      <c r="C12" s="31"/>
      <c r="D12" s="31"/>
      <c r="E12" s="31"/>
      <c r="F12" s="31"/>
    </row>
    <row r="13" customFormat="false" ht="15" hidden="false" customHeight="true" outlineLevel="0" collapsed="false">
      <c r="A13" s="16" t="s">
        <v>112</v>
      </c>
      <c r="B13" s="16"/>
      <c r="C13" s="16"/>
      <c r="D13" s="16"/>
      <c r="E13" s="16"/>
      <c r="F13" s="16"/>
    </row>
    <row r="14" customFormat="false" ht="15" hidden="false" customHeight="true" outlineLevel="0" collapsed="false">
      <c r="A14" s="16" t="s">
        <v>113</v>
      </c>
      <c r="B14" s="16"/>
      <c r="C14" s="16"/>
      <c r="D14" s="16"/>
      <c r="E14" s="16"/>
      <c r="F14" s="16"/>
    </row>
    <row r="15" customFormat="false" ht="15" hidden="false" customHeight="true" outlineLevel="0" collapsed="false">
      <c r="A15" s="16" t="s">
        <v>114</v>
      </c>
      <c r="B15" s="16"/>
      <c r="C15" s="16"/>
      <c r="D15" s="16"/>
      <c r="E15" s="16"/>
      <c r="F15" s="16"/>
    </row>
  </sheetData>
  <mergeCells count="6">
    <mergeCell ref="A1:F1"/>
    <mergeCell ref="A2:F2"/>
    <mergeCell ref="A12:F12"/>
    <mergeCell ref="A13:F13"/>
    <mergeCell ref="A14:F14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7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7"/>
  </cols>
  <sheetData>
    <row r="1" customFormat="false" ht="17.35" hidden="false" customHeight="false" outlineLevel="0" collapsed="false">
      <c r="A1" s="2" t="s">
        <v>115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</row>
    <row r="5" customFormat="false" ht="15" hidden="false" customHeight="false" outlineLevel="0" collapsed="false">
      <c r="A5" s="4" t="s">
        <v>117</v>
      </c>
      <c r="B5" s="4" t="s">
        <v>118</v>
      </c>
      <c r="C5" s="4" t="s">
        <v>119</v>
      </c>
      <c r="D5" s="4" t="s">
        <v>120</v>
      </c>
      <c r="E5" s="4" t="s">
        <v>121</v>
      </c>
      <c r="F5" s="4" t="s">
        <v>122</v>
      </c>
    </row>
    <row r="6" customFormat="false" ht="15" hidden="false" customHeight="false" outlineLevel="0" collapsed="false">
      <c r="A6" s="32" t="n">
        <v>45658</v>
      </c>
      <c r="B6" s="33" t="n">
        <v>70000</v>
      </c>
      <c r="C6" s="33" t="n">
        <v>70000</v>
      </c>
      <c r="D6" s="34" t="s">
        <v>104</v>
      </c>
      <c r="E6" s="35" t="n">
        <v>1</v>
      </c>
      <c r="F6" s="36" t="n">
        <f aca="false">-C6</f>
        <v>-70000</v>
      </c>
    </row>
    <row r="7" customFormat="false" ht="15" hidden="false" customHeight="false" outlineLevel="0" collapsed="false">
      <c r="A7" s="32" t="n">
        <v>45689</v>
      </c>
      <c r="B7" s="33" t="n">
        <v>71200</v>
      </c>
      <c r="C7" s="33" t="n">
        <v>750</v>
      </c>
      <c r="D7" s="37" t="n">
        <f aca="false">(B7-C7)/B6-1</f>
        <v>0.00642857142857145</v>
      </c>
      <c r="E7" s="35" t="n">
        <f aca="false">E6*(1+D7)</f>
        <v>1.00642857142857</v>
      </c>
      <c r="F7" s="36" t="n">
        <f aca="false">-C7</f>
        <v>-750</v>
      </c>
    </row>
    <row r="8" customFormat="false" ht="15" hidden="false" customHeight="false" outlineLevel="0" collapsed="false">
      <c r="A8" s="32" t="n">
        <v>45717</v>
      </c>
      <c r="B8" s="33" t="n">
        <v>72600</v>
      </c>
      <c r="C8" s="33" t="n">
        <v>750</v>
      </c>
      <c r="D8" s="37" t="n">
        <f aca="false">(B8-C8)/B7-1</f>
        <v>0.00912921348314599</v>
      </c>
      <c r="E8" s="35" t="n">
        <f aca="false">E7*(1+D8)</f>
        <v>1.01561647271268</v>
      </c>
      <c r="F8" s="36" t="n">
        <f aca="false">-C8</f>
        <v>-750</v>
      </c>
    </row>
    <row r="9" customFormat="false" ht="15" hidden="false" customHeight="false" outlineLevel="0" collapsed="false">
      <c r="A9" s="32" t="n">
        <v>45748</v>
      </c>
      <c r="B9" s="33" t="n">
        <v>71800</v>
      </c>
      <c r="C9" s="33" t="n">
        <v>750</v>
      </c>
      <c r="D9" s="37" t="n">
        <f aca="false">(B9-C9)/B8-1</f>
        <v>-0.0213498622589532</v>
      </c>
      <c r="E9" s="35" t="n">
        <f aca="false">E8*(1+D9)</f>
        <v>0.993933200912341</v>
      </c>
      <c r="F9" s="36" t="n">
        <f aca="false">-C9</f>
        <v>-750</v>
      </c>
    </row>
    <row r="10" customFormat="false" ht="15" hidden="false" customHeight="false" outlineLevel="0" collapsed="false">
      <c r="A10" s="32" t="n">
        <v>45778</v>
      </c>
      <c r="B10" s="33" t="n">
        <v>70500</v>
      </c>
      <c r="C10" s="33" t="n">
        <v>750</v>
      </c>
      <c r="D10" s="37" t="n">
        <f aca="false">(B10-C10)/B9-1</f>
        <v>-0.0285515320334262</v>
      </c>
      <c r="E10" s="35" t="n">
        <f aca="false">E9*(1+D10)</f>
        <v>0.965554885287407</v>
      </c>
      <c r="F10" s="36" t="n">
        <f aca="false">-C10</f>
        <v>-750</v>
      </c>
    </row>
    <row r="11" customFormat="false" ht="15" hidden="false" customHeight="false" outlineLevel="0" collapsed="false">
      <c r="A11" s="32" t="n">
        <v>45809</v>
      </c>
      <c r="B11" s="33" t="n">
        <v>72400</v>
      </c>
      <c r="C11" s="33" t="n">
        <v>750</v>
      </c>
      <c r="D11" s="37" t="n">
        <f aca="false">(B11-C11)/B10-1</f>
        <v>0.0163120567375887</v>
      </c>
      <c r="E11" s="35" t="n">
        <f aca="false">E10*(1+D11)</f>
        <v>0.981305071359471</v>
      </c>
      <c r="F11" s="36" t="n">
        <f aca="false">-C11</f>
        <v>-750</v>
      </c>
    </row>
    <row r="12" customFormat="false" ht="15" hidden="false" customHeight="false" outlineLevel="0" collapsed="false">
      <c r="A12" s="32" t="n">
        <v>45839</v>
      </c>
      <c r="B12" s="33" t="n">
        <v>74800</v>
      </c>
      <c r="C12" s="33" t="n">
        <v>750</v>
      </c>
      <c r="D12" s="37" t="n">
        <f aca="false">(B12-C12)/B11-1</f>
        <v>0.0227900552486189</v>
      </c>
      <c r="E12" s="35" t="n">
        <f aca="false">E11*(1+D12)</f>
        <v>1.0036690681515</v>
      </c>
      <c r="F12" s="36" t="n">
        <f aca="false">-C12</f>
        <v>-750</v>
      </c>
    </row>
    <row r="13" customFormat="false" ht="15" hidden="false" customHeight="false" outlineLevel="0" collapsed="false">
      <c r="A13" s="32" t="n">
        <v>45870</v>
      </c>
      <c r="B13" s="33" t="n">
        <v>76200</v>
      </c>
      <c r="C13" s="33" t="n">
        <v>750</v>
      </c>
      <c r="D13" s="37" t="n">
        <f aca="false">(B13-C13)/B12-1</f>
        <v>0.0086898395721926</v>
      </c>
      <c r="E13" s="35" t="n">
        <f aca="false">E12*(1+D13)</f>
        <v>1.01239079133731</v>
      </c>
      <c r="F13" s="36" t="n">
        <f aca="false">-C13</f>
        <v>-750</v>
      </c>
    </row>
    <row r="14" customFormat="false" ht="15" hidden="false" customHeight="false" outlineLevel="0" collapsed="false">
      <c r="A14" s="32" t="n">
        <v>45901</v>
      </c>
      <c r="B14" s="33" t="n">
        <v>75000</v>
      </c>
      <c r="C14" s="33" t="n">
        <v>750</v>
      </c>
      <c r="D14" s="37" t="n">
        <f aca="false">(B14-C14)/B13-1</f>
        <v>-0.0255905511811023</v>
      </c>
      <c r="E14" s="35" t="n">
        <f aca="false">E13*(1+D14)</f>
        <v>0.986483152976317</v>
      </c>
      <c r="F14" s="36" t="n">
        <f aca="false">-C14</f>
        <v>-750</v>
      </c>
    </row>
    <row r="15" customFormat="false" ht="15" hidden="false" customHeight="false" outlineLevel="0" collapsed="false">
      <c r="A15" s="32" t="n">
        <v>45931</v>
      </c>
      <c r="B15" s="33" t="n">
        <v>78500</v>
      </c>
      <c r="C15" s="33" t="n">
        <v>750</v>
      </c>
      <c r="D15" s="37" t="n">
        <f aca="false">(B15-C15)/B14-1</f>
        <v>0.0366666666666666</v>
      </c>
      <c r="E15" s="35" t="n">
        <f aca="false">E14*(1+D15)</f>
        <v>1.02265420191878</v>
      </c>
      <c r="F15" s="36" t="n">
        <f aca="false">-C15</f>
        <v>-750</v>
      </c>
    </row>
    <row r="16" customFormat="false" ht="15" hidden="false" customHeight="false" outlineLevel="0" collapsed="false">
      <c r="A16" s="32" t="n">
        <v>45962</v>
      </c>
      <c r="B16" s="33" t="n">
        <v>81800</v>
      </c>
      <c r="C16" s="33" t="n">
        <v>750</v>
      </c>
      <c r="D16" s="37" t="n">
        <f aca="false">(B16-C16)/B15-1</f>
        <v>0.0324840764331211</v>
      </c>
      <c r="E16" s="35" t="n">
        <f aca="false">E15*(1+D16)</f>
        <v>1.05587417917856</v>
      </c>
      <c r="F16" s="36" t="n">
        <f aca="false">-C16</f>
        <v>-750</v>
      </c>
    </row>
    <row r="17" customFormat="false" ht="15" hidden="false" customHeight="false" outlineLevel="0" collapsed="false">
      <c r="A17" s="32" t="n">
        <v>45992</v>
      </c>
      <c r="B17" s="33" t="n">
        <v>85400</v>
      </c>
      <c r="C17" s="33" t="n">
        <v>750</v>
      </c>
      <c r="D17" s="37" t="n">
        <f aca="false">(B17-C17)/B16-1</f>
        <v>0.0348410757946209</v>
      </c>
      <c r="E17" s="35" t="n">
        <f aca="false">E16*(1+D17)</f>
        <v>1.09266197148491</v>
      </c>
      <c r="F17" s="36" t="n">
        <f aca="false">-C17</f>
        <v>-750</v>
      </c>
    </row>
    <row r="18" customFormat="false" ht="15" hidden="false" customHeight="false" outlineLevel="0" collapsed="false">
      <c r="A18" s="32" t="n">
        <v>46023</v>
      </c>
      <c r="B18" s="33" t="n">
        <v>88000</v>
      </c>
      <c r="C18" s="33" t="n">
        <v>750</v>
      </c>
      <c r="D18" s="37" t="n">
        <f aca="false">(B18-C18)/B17-1</f>
        <v>0.0216627634660422</v>
      </c>
      <c r="E18" s="35" t="n">
        <f aca="false">E17*(1+D18)</f>
        <v>1.11633204932152</v>
      </c>
      <c r="F18" s="36" t="n">
        <f aca="false">-C18+B18</f>
        <v>87250</v>
      </c>
    </row>
    <row r="20" customFormat="false" ht="15" hidden="false" customHeight="false" outlineLevel="0" collapsed="false">
      <c r="A20" s="38" t="s">
        <v>123</v>
      </c>
      <c r="B20" s="39" t="n">
        <f aca="false">E18-1</f>
        <v>0.116332049321525</v>
      </c>
      <c r="C20" s="3" t="s">
        <v>124</v>
      </c>
      <c r="D20" s="3"/>
      <c r="E20" s="3"/>
      <c r="F20" s="3"/>
    </row>
    <row r="21" customFormat="false" ht="15" hidden="false" customHeight="false" outlineLevel="0" collapsed="false">
      <c r="A21" s="38" t="s">
        <v>125</v>
      </c>
      <c r="B21" s="40" t="n">
        <f aca="false">A18-A6</f>
        <v>365</v>
      </c>
      <c r="C21" s="3" t="s">
        <v>126</v>
      </c>
      <c r="D21" s="3"/>
      <c r="E21" s="3"/>
      <c r="F21" s="3"/>
    </row>
    <row r="22" customFormat="false" ht="15" hidden="false" customHeight="false" outlineLevel="0" collapsed="false">
      <c r="A22" s="38" t="s">
        <v>127</v>
      </c>
      <c r="B22" s="39" t="n">
        <f aca="false">(E18)^(365/(A18-A6))-1</f>
        <v>0.116332049321525</v>
      </c>
      <c r="C22" s="3" t="s">
        <v>128</v>
      </c>
      <c r="D22" s="3"/>
      <c r="E22" s="3"/>
      <c r="F22" s="3"/>
    </row>
    <row r="23" customFormat="false" ht="15" hidden="false" customHeight="false" outlineLevel="0" collapsed="false">
      <c r="A23" s="38" t="s">
        <v>129</v>
      </c>
      <c r="B23" s="39" t="n">
        <f aca="false">XIRR(F6:F18,A6:A18)</f>
        <v>0.121524367887868</v>
      </c>
      <c r="C23" s="3" t="s">
        <v>53</v>
      </c>
      <c r="D23" s="3"/>
      <c r="E23" s="3"/>
      <c r="F23" s="3"/>
    </row>
    <row r="24" customFormat="false" ht="15" hidden="false" customHeight="false" outlineLevel="0" collapsed="false">
      <c r="A24" s="38" t="s">
        <v>130</v>
      </c>
      <c r="B24" s="39" t="n">
        <f aca="false">((E18)^(365/(A18-A6))-1)-XIRR(F6:F18,A6:A18)</f>
        <v>-0.00519231856634336</v>
      </c>
      <c r="C24" s="3" t="s">
        <v>131</v>
      </c>
      <c r="D24" s="3"/>
      <c r="E24" s="3"/>
      <c r="F24" s="3"/>
    </row>
    <row r="26" customFormat="false" ht="15" hidden="false" customHeight="false" outlineLevel="0" collapsed="false">
      <c r="A26" s="41" t="s">
        <v>132</v>
      </c>
      <c r="B26" s="41"/>
      <c r="C26" s="41"/>
      <c r="D26" s="41"/>
      <c r="E26" s="41"/>
      <c r="F26" s="41"/>
    </row>
    <row r="27" customFormat="false" ht="15" hidden="false" customHeight="false" outlineLevel="0" collapsed="false">
      <c r="A27" s="16" t="s">
        <v>133</v>
      </c>
      <c r="B27" s="16"/>
      <c r="C27" s="16"/>
      <c r="D27" s="16"/>
      <c r="E27" s="16"/>
      <c r="F27" s="16"/>
    </row>
    <row r="28" customFormat="false" ht="15" hidden="false" customHeight="false" outlineLevel="0" collapsed="false">
      <c r="A28" s="16" t="s">
        <v>134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16" t="s">
        <v>135</v>
      </c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6" t="s">
        <v>136</v>
      </c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 t="s">
        <v>137</v>
      </c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 t="s">
        <v>138</v>
      </c>
      <c r="B32" s="16"/>
      <c r="C32" s="16"/>
      <c r="D32" s="16"/>
      <c r="E32" s="16"/>
      <c r="F32" s="16"/>
    </row>
  </sheetData>
  <mergeCells count="14">
    <mergeCell ref="A1:F1"/>
    <mergeCell ref="A2:F3"/>
    <mergeCell ref="C20:F20"/>
    <mergeCell ref="C21:F21"/>
    <mergeCell ref="C22:F22"/>
    <mergeCell ref="C23:F23"/>
    <mergeCell ref="C24:F24"/>
    <mergeCell ref="A26:F26"/>
    <mergeCell ref="A27:F27"/>
    <mergeCell ref="A28:F28"/>
    <mergeCell ref="A29:F29"/>
    <mergeCell ref="A30:F30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2026-06-25T14:18:21Z</dcterms:created>
  <dc:creator>openpyxl</dc:creator>
  <dc:description/>
  <dc:language>en-US</dc:language>
  <cp:lastModifiedBy/>
  <dcterms:modified xsi:type="dcterms:W3CDTF">2026-06-25T18:43:01Z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