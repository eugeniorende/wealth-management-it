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i" sheetId="1" state="visible" r:id="rId3"/>
    <sheet name="Obiettivi" sheetId="2" state="visible" r:id="rId4"/>
    <sheet name="Riepilog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<sst xmlns="http://schemas.openxmlformats.org/spreadsheetml/2006/main" count="104" uniqueCount="97">
  <si>
    <t xml:space="preserve">Pianificatore obiettivi — Parametri globali</t>
  </si>
  <si>
    <t xml:space="preserve">Modifica le celle in BLU. Rendimenti per profilo: assunzioni editabili, nominali e netti (note 6-7).</t>
  </si>
  <si>
    <t xml:space="preserve">PARAMETRI GLOBALI</t>
  </si>
  <si>
    <t xml:space="preserve">Capacità di risparmio mensile</t>
  </si>
  <si>
    <t xml:space="preserve">€/mese (entrate − spese)</t>
  </si>
  <si>
    <t xml:space="preserve">Inflazione attesa</t>
  </si>
  <si>
    <t xml:space="preserve">target BCE 2%</t>
  </si>
  <si>
    <t xml:space="preserve">Finestra di de-risking (anni)</t>
  </si>
  <si>
    <t xml:space="preserve">glide path: negli ultimi anni i terminanti scendono a 0% azionario</t>
  </si>
  <si>
    <t xml:space="preserve">RENDIMENTI PER PROFILO (nominali, netti di costi e imposte, editabili)</t>
  </si>
  <si>
    <t xml:space="preserve">Profilo</t>
  </si>
  <si>
    <t xml:space="preserve">Rendimento atteso</t>
  </si>
  <si>
    <t xml:space="preserve">Volatilità attesa</t>
  </si>
  <si>
    <t xml:space="preserve">% Azionario</t>
  </si>
  <si>
    <t xml:space="preserve">Orizzonte tipico</t>
  </si>
  <si>
    <t xml:space="preserve">Preservazione</t>
  </si>
  <si>
    <t xml:space="preserve">&lt; 2 anni</t>
  </si>
  <si>
    <t xml:space="preserve">Conservativo</t>
  </si>
  <si>
    <t xml:space="preserve">2-4 anni</t>
  </si>
  <si>
    <t xml:space="preserve">Moderato</t>
  </si>
  <si>
    <t xml:space="preserve">4-7 anni</t>
  </si>
  <si>
    <t xml:space="preserve">Crescita</t>
  </si>
  <si>
    <t xml:space="preserve">7-12 anni</t>
  </si>
  <si>
    <t xml:space="preserve">Crescita massima</t>
  </si>
  <si>
    <t xml:space="preserve">&gt; 12 anni</t>
  </si>
  <si>
    <t xml:space="preserve">Azionario totale</t>
  </si>
  <si>
    <t xml:space="preserve">NOTE:</t>
  </si>
  <si>
    <t xml:space="preserve">1. Rendimenti, volatilità e % azionario sono ipotesi/esempi editabili. La % azionario è il punto medio rappresentativo della fascia del profilo.</t>
  </si>
  <si>
    <t xml:space="preserve">2. L'orizzonte di un obiettivo guida la scelta del profilo (più corto = più conservativo). Vedi orizzonte-allocazione.md.</t>
  </si>
  <si>
    <t xml:space="preserve">3. Il fondo di emergenza va in 'Preservazione' (liquidità): è l'obiettivo 0, prima di ogni altro.</t>
  </si>
  <si>
    <t xml:space="preserve">4. La volatilità alimenta il Monte Carlo (montecarlo-obiettivi.py); la % azionario alimenta l'allocazione complessiva (foglio Riepilogo).</t>
  </si>
  <si>
    <t xml:space="preserve">5. Non è consulenza di investimento: i profili sono esempi didattici, la scelta è dell'utente.</t>
  </si>
  <si>
    <t xml:space="preserve">6. Netti di costi e imposte: netto ≈ (lordo − costi) × (1 − 26%), come se tassati ogni anno (prudente). L'asset location riparte dal lordo.</t>
  </si>
  <si>
    <t xml:space="preserve">7. Media aritmetica annua attesa: la crescita composta mediana è ≈ rendimento − volatilità²/2 (da dati annualizzati, es. DMS: aggiungere volatilità²/2).</t>
  </si>
  <si>
    <t xml:space="preserve">8. Finestra (B7): i terminanti de-riskano negli ultimi anni fino a 0% azionario; il versamento (Obiettivi, colonne I, O, P) ne tiene conto.</t>
  </si>
  <si>
    <t xml:space="preserve">Pianificatore obiettivi — Tabella obiettivi</t>
  </si>
  <si>
    <t xml:space="preserve">Compila una riga per obiettivo (celle BLU). Profilo, Priorità e Tipo hanno un menu a tendina. Tipo: 'terminante' = si spende a scadenza (casa, università) e de-riska negli ultimi anni (colonne O-P, finestra in Parametri!B7); 'permanente' = cuscinetto/riserva che resta (fondo emergenza). Usato dal versamento e dal glide path.</t>
  </si>
  <si>
    <t xml:space="preserve">Obiettivo</t>
  </si>
  <si>
    <t xml:space="preserve">Importo target
(€ oggi)</t>
  </si>
  <si>
    <t xml:space="preserve">Orizzonte
(anni)</t>
  </si>
  <si>
    <t xml:space="preserve">Rendimento
atteso</t>
  </si>
  <si>
    <t xml:space="preserve">Già
accantonato</t>
  </si>
  <si>
    <t xml:space="preserve">Priorità</t>
  </si>
  <si>
    <t xml:space="preserve">Target nominale
(€)</t>
  </si>
  <si>
    <t xml:space="preserve">Versamento
mensile (€)</t>
  </si>
  <si>
    <t xml:space="preserve">% capacità</t>
  </si>
  <si>
    <t xml:space="preserve">Capitale
azionario (€)</t>
  </si>
  <si>
    <t xml:space="preserve">Versam.
azionario (€)</t>
  </si>
  <si>
    <t xml:space="preserve">Tipo</t>
  </si>
  <si>
    <t xml:space="preserve">Anni di
de-risking</t>
  </si>
  <si>
    <t xml:space="preserve">Rendimento
in de-risking</t>
  </si>
  <si>
    <t xml:space="preserve">Fondo di emergenza</t>
  </si>
  <si>
    <t xml:space="preserve">essenziale</t>
  </si>
  <si>
    <t xml:space="preserve">permanente</t>
  </si>
  <si>
    <t xml:space="preserve">Anticipo casa</t>
  </si>
  <si>
    <t xml:space="preserve">importante</t>
  </si>
  <si>
    <t xml:space="preserve">terminante</t>
  </si>
  <si>
    <t xml:space="preserve">Lungo termine / libertà</t>
  </si>
  <si>
    <t xml:space="preserve">desiderabile</t>
  </si>
  <si>
    <t xml:space="preserve">TOTALE versamenti mensili</t>
  </si>
  <si>
    <t xml:space="preserve">Pianificatore obiettivi — Riepilogo e riconciliazione</t>
  </si>
  <si>
    <t xml:space="preserve">Confronta i versamenti necessari con la capacità di risparmio. Tutto si aggiorna dai fogli Parametri e Obiettivi.</t>
  </si>
  <si>
    <t xml:space="preserve">RICONCILIAZIONE</t>
  </si>
  <si>
    <t xml:space="preserve">Totale versamenti mensili necessari</t>
  </si>
  <si>
    <t xml:space="preserve">Margine (+) / Gap (−) mensile</t>
  </si>
  <si>
    <t xml:space="preserve">Stato del piano</t>
  </si>
  <si>
    <t xml:space="preserve">% capacità impegnata</t>
  </si>
  <si>
    <t xml:space="preserve">VERSAMENTI PER PRIORITÀ</t>
  </si>
  <si>
    <t xml:space="preserve">Versamenti 'essenziale'</t>
  </si>
  <si>
    <t xml:space="preserve">Versamenti 'importante'</t>
  </si>
  <si>
    <t xml:space="preserve">Versamenti 'desiderabile'</t>
  </si>
  <si>
    <t xml:space="preserve">ALLOCAZIONE COMPLESSIVA DEL PORTAFOGLIO</t>
  </si>
  <si>
    <t xml:space="preserve">— Sul capitale attuale (stock) —</t>
  </si>
  <si>
    <t xml:space="preserve">Capitale totale attuale</t>
  </si>
  <si>
    <t xml:space="preserve">di cui azionario</t>
  </si>
  <si>
    <t xml:space="preserve">di cui non azionario / liquidità</t>
  </si>
  <si>
    <t xml:space="preserve">QUOTA AZIONARIA complessiva</t>
  </si>
  <si>
    <t xml:space="preserve">QUOTA NON AZIONARIA complessiva</t>
  </si>
  <si>
    <t xml:space="preserve">— Sui nuovi versamenti (flusso mensile) —</t>
  </si>
  <si>
    <t xml:space="preserve">Versamento totale / mese</t>
  </si>
  <si>
    <t xml:space="preserve">di cui in azionario / mese</t>
  </si>
  <si>
    <t xml:space="preserve">Quota azionaria del flusso</t>
  </si>
  <si>
    <t xml:space="preserve">COME USARE L'ALLOCAZIONE COMPLESSIVA:</t>
  </si>
  <si>
    <t xml:space="preserve">1. È EMERGENTE, non scelta dall'alto: deriva dai profili dei singoli obiettivi pesati per il capitale.</t>
  </si>
  <si>
    <t xml:space="preserve">2. NON comprare un singolo fondo bilanciato con questa %: implementa secchiello per secchiello.</t>
  </si>
  <si>
    <t xml:space="preserve">   Il fondo emergenza resta liquido; l'obbligazionario di un obiettivo lungo è un'altra cosa.</t>
  </si>
  <si>
    <t xml:space="preserve">3. È il TARGET che alimenta it-rebalance: quella skill mantiene questa allocazione nel tempo.</t>
  </si>
  <si>
    <t xml:space="preserve">4. Cambia nel tempo: il glide path (de-risking all'avvicinarsi degli obiettivi) la sposta verso il conservativo.</t>
  </si>
  <si>
    <t xml:space="preserve">5. Stock ≠ flusso: l'allocazione del capitale esistente è diversa da quella dei nuovi versamenti.</t>
  </si>
  <si>
    <t xml:space="preserve">SE IL PIANO NON È SOSTENIBILE (Gap &lt; 0):</t>
  </si>
  <si>
    <t xml:space="preserve">1. Fondo di emergenza sempre prima (non negoziabile): è l'obiettivo 0.</t>
  </si>
  <si>
    <t xml:space="preserve">2. Estinguere i debiti cari prima di investire per obiettivi discrezionali.</t>
  </si>
  <si>
    <t xml:space="preserve">3. Sfruttare la sequenza: gli obiettivi a breve si completano e liberano capacità per gli altri.</t>
  </si>
  <si>
    <t xml:space="preserve">4. Allungare l'orizzonte di un obiettivo non urgente (più tempo = meno versamento mensile).</t>
  </si>
  <si>
    <t xml:space="preserve">5. Ridurre l'importo target di un obiettivo desiderabile, o posticiparlo per priorità.</t>
  </si>
  <si>
    <t xml:space="preserve">6. NON forzare una capacità di risparmio irrealistica: meglio un piano parziale ma sostenibile.</t>
  </si>
  <si>
    <t xml:space="preserve">Disclaimer: strumento informativo di pianificazione personale, non consulenza di investimento. I rendimenti sono ipotesi con ampia variabilità. Per scelte concrete, consultare un consulente abilitato.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</si>
</sst>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;&quot;(€&quot;#,##0\);\-"/>
    <numFmt numFmtId="166" formatCode="0.00%;\(0.00%\);\-"/>
    <numFmt numFmtId="167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D9E1F2"/>
      </patternFill>
    </fill>
    <fill>
      <patternFill patternType="solid">
        <fgColor rgb="FFFFF2CC"/>
        <bgColor rgb="FFE7E6E6"/>
      </patternFill>
    </fill>
    <fill>
      <patternFill patternType="solid">
        <fgColor rgb="FF4472C4"/>
        <bgColor rgb="FF666666"/>
      </patternFill>
    </fill>
    <fill>
      <patternFill patternType="solid">
        <fgColor rgb="FFF2F7FF"/>
        <bgColor rgb="FFFFFFFF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7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8"/>
    <col collapsed="false" customWidth="true" hidden="false" outlineLevel="0" max="4" min="4" style="1" width="13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1200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0.02</v>
      </c>
      <c r="C6" s="7" t="s">
        <v>6</v>
      </c>
    </row>
    <row r="7" customFormat="false" ht="15" hidden="false" customHeight="true" outlineLevel="0" collapsed="false">
      <c r="A7" s="5" t="s">
        <v>7</v>
      </c>
      <c r="B7" s="9" t="n">
        <v>7</v>
      </c>
      <c r="C7" s="7" t="s">
        <v>8</v>
      </c>
    </row>
    <row r="8" customFormat="false" ht="15" hidden="false" customHeight="true" outlineLevel="0" collapsed="false">
      <c r="A8" s="4" t="s">
        <v>9</v>
      </c>
      <c r="B8" s="4"/>
      <c r="C8" s="4"/>
      <c r="D8" s="4"/>
      <c r="E8" s="4"/>
    </row>
    <row r="9" customFormat="false" ht="15" hidden="false" customHeight="true" outlineLevel="0" collapsed="false">
      <c r="A9" s="10" t="s">
        <v>10</v>
      </c>
      <c r="B9" s="10" t="s">
        <v>11</v>
      </c>
      <c r="C9" s="10" t="s">
        <v>12</v>
      </c>
      <c r="D9" s="10" t="s">
        <v>13</v>
      </c>
      <c r="E9" s="10" t="s">
        <v>14</v>
      </c>
    </row>
    <row r="10" customFormat="false" ht="15" hidden="false" customHeight="true" outlineLevel="0" collapsed="false">
      <c r="A10" s="11" t="s">
        <v>15</v>
      </c>
      <c r="B10" s="12" t="n">
        <v>0.015</v>
      </c>
      <c r="C10" s="12" t="n">
        <v>0.015</v>
      </c>
      <c r="D10" s="12" t="n">
        <v>0</v>
      </c>
      <c r="E10" s="13" t="s">
        <v>16</v>
      </c>
    </row>
    <row r="11" customFormat="false" ht="15" hidden="false" customHeight="true" outlineLevel="0" collapsed="false">
      <c r="A11" s="11" t="s">
        <v>17</v>
      </c>
      <c r="B11" s="12" t="n">
        <v>0.025</v>
      </c>
      <c r="C11" s="12" t="n">
        <v>0.045</v>
      </c>
      <c r="D11" s="12" t="n">
        <v>0.1</v>
      </c>
      <c r="E11" s="13" t="s">
        <v>18</v>
      </c>
    </row>
    <row r="12" customFormat="false" ht="15" hidden="false" customHeight="true" outlineLevel="0" collapsed="false">
      <c r="A12" s="11" t="s">
        <v>19</v>
      </c>
      <c r="B12" s="12" t="n">
        <v>0.04</v>
      </c>
      <c r="C12" s="12" t="n">
        <v>0.085</v>
      </c>
      <c r="D12" s="12" t="n">
        <v>0.4</v>
      </c>
      <c r="E12" s="13" t="s">
        <v>20</v>
      </c>
    </row>
    <row r="13" customFormat="false" ht="15" hidden="false" customHeight="true" outlineLevel="0" collapsed="false">
      <c r="A13" s="11" t="s">
        <v>21</v>
      </c>
      <c r="B13" s="12" t="n">
        <v>0.055</v>
      </c>
      <c r="C13" s="12" t="n">
        <v>0.13</v>
      </c>
      <c r="D13" s="12" t="n">
        <v>0.65</v>
      </c>
      <c r="E13" s="13" t="s">
        <v>22</v>
      </c>
    </row>
    <row r="14" customFormat="false" ht="15" hidden="false" customHeight="true" outlineLevel="0" collapsed="false">
      <c r="A14" s="11" t="s">
        <v>23</v>
      </c>
      <c r="B14" s="12" t="n">
        <v>0.065</v>
      </c>
      <c r="C14" s="12" t="n">
        <v>0.165</v>
      </c>
      <c r="D14" s="12" t="n">
        <v>0.9</v>
      </c>
      <c r="E14" s="13" t="s">
        <v>24</v>
      </c>
    </row>
    <row r="15" customFormat="false" ht="15" hidden="false" customHeight="false" outlineLevel="0" collapsed="false">
      <c r="A15" s="11" t="s">
        <v>25</v>
      </c>
      <c r="B15" s="12" t="n">
        <v>0.069</v>
      </c>
      <c r="C15" s="12" t="n">
        <v>0.18</v>
      </c>
      <c r="D15" s="12" t="n">
        <v>1</v>
      </c>
    </row>
    <row r="17" customFormat="false" ht="15" hidden="false" customHeight="true" outlineLevel="0" collapsed="false">
      <c r="A17" s="14" t="s">
        <v>26</v>
      </c>
    </row>
    <row r="18" customFormat="false" ht="15" hidden="false" customHeight="true" outlineLevel="0" collapsed="false">
      <c r="A18" s="15" t="s">
        <v>27</v>
      </c>
      <c r="B18" s="15"/>
      <c r="C18" s="15"/>
      <c r="D18" s="15"/>
      <c r="E18" s="15"/>
    </row>
    <row r="19" customFormat="false" ht="15" hidden="false" customHeight="true" outlineLevel="0" collapsed="false">
      <c r="A19" s="15" t="s">
        <v>28</v>
      </c>
      <c r="B19" s="15"/>
      <c r="C19" s="15"/>
      <c r="D19" s="15"/>
      <c r="E19" s="15"/>
    </row>
    <row r="20" customFormat="false" ht="15" hidden="false" customHeight="true" outlineLevel="0" collapsed="false">
      <c r="A20" s="15" t="s">
        <v>29</v>
      </c>
      <c r="B20" s="15"/>
      <c r="C20" s="15"/>
      <c r="D20" s="15"/>
      <c r="E20" s="15"/>
    </row>
    <row r="21" customFormat="false" ht="15" hidden="false" customHeight="true" outlineLevel="0" collapsed="false">
      <c r="A21" s="15" t="s">
        <v>30</v>
      </c>
      <c r="B21" s="15"/>
      <c r="C21" s="15"/>
      <c r="D21" s="15"/>
      <c r="E21" s="15"/>
    </row>
    <row r="22" customFormat="false" ht="15" hidden="false" customHeight="true" outlineLevel="0" collapsed="false">
      <c r="A22" s="15" t="s">
        <v>31</v>
      </c>
      <c r="B22" s="15"/>
      <c r="C22" s="15"/>
      <c r="D22" s="15"/>
      <c r="E22" s="15"/>
    </row>
    <row r="23" customFormat="false" ht="15" hidden="false" customHeight="true" outlineLevel="0" collapsed="false">
      <c r="A23" s="15" t="s">
        <v>32</v>
      </c>
      <c r="B23" s="15"/>
      <c r="C23" s="15"/>
      <c r="D23" s="15"/>
      <c r="E23" s="15"/>
    </row>
    <row r="24" customFormat="false" ht="15" hidden="false" customHeight="true" outlineLevel="0" collapsed="false">
      <c r="A24" s="15" t="s">
        <v>33</v>
      </c>
      <c r="B24" s="15"/>
      <c r="C24" s="15"/>
      <c r="D24" s="15"/>
      <c r="E24" s="15"/>
    </row>
    <row r="25" customFormat="false" ht="15" hidden="false" customHeight="true" outlineLevel="0" collapsed="false">
      <c r="A25" s="15" t="s">
        <v>34</v>
      </c>
      <c r="B25" s="15"/>
      <c r="C25" s="15"/>
      <c r="D25" s="15"/>
      <c r="E25" s="15"/>
    </row>
  </sheetData>
  <mergeCells count="12">
    <mergeCell ref="A1:C1"/>
    <mergeCell ref="A2:C2"/>
    <mergeCell ref="A4:C4"/>
    <mergeCell ref="A8:E8"/>
    <mergeCell ref="A18:E18"/>
    <mergeCell ref="A19:E19"/>
    <mergeCell ref="A20:E20"/>
    <mergeCell ref="A21:E21"/>
    <mergeCell ref="A22:E22"/>
    <mergeCell ref="A23:E23"/>
    <mergeCell ref="A24:E24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7" min="6" style="1" width="13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1" min="10" style="1" width="11"/>
    <col collapsed="false" customWidth="true" hidden="false" outlineLevel="0" max="13" min="12" style="1" width="14"/>
    <col collapsed="false" customWidth="true" hidden="false" outlineLevel="0" max="16" min="14" style="1" width="13"/>
  </cols>
  <sheetData>
    <row r="1" customFormat="false" ht="17.25" hidden="false" customHeight="true" outlineLevel="0" collapsed="false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0" hidden="false" customHeight="true" outlineLevel="0" collapsed="false">
      <c r="A4" s="10" t="s">
        <v>37</v>
      </c>
      <c r="B4" s="16" t="s">
        <v>38</v>
      </c>
      <c r="C4" s="16" t="s">
        <v>39</v>
      </c>
      <c r="D4" s="10" t="s">
        <v>10</v>
      </c>
      <c r="E4" s="16" t="s">
        <v>40</v>
      </c>
      <c r="F4" s="16" t="s">
        <v>41</v>
      </c>
      <c r="G4" s="10" t="s">
        <v>42</v>
      </c>
      <c r="H4" s="16" t="s">
        <v>43</v>
      </c>
      <c r="I4" s="16" t="s">
        <v>44</v>
      </c>
      <c r="J4" s="10" t="s">
        <v>45</v>
      </c>
      <c r="K4" s="10" t="s">
        <v>13</v>
      </c>
      <c r="L4" s="16" t="s">
        <v>46</v>
      </c>
      <c r="M4" s="16" t="s">
        <v>47</v>
      </c>
      <c r="N4" s="10" t="s">
        <v>48</v>
      </c>
      <c r="O4" s="16" t="s">
        <v>49</v>
      </c>
      <c r="P4" s="16" t="s">
        <v>50</v>
      </c>
    </row>
    <row r="5" customFormat="false" ht="15" hidden="false" customHeight="true" outlineLevel="0" collapsed="false">
      <c r="A5" s="17" t="s">
        <v>51</v>
      </c>
      <c r="B5" s="18" t="n">
        <v>12000</v>
      </c>
      <c r="C5" s="19" t="n">
        <v>2</v>
      </c>
      <c r="D5" s="17" t="s">
        <v>15</v>
      </c>
      <c r="E5" s="20" t="n">
        <f aca="false">IF(D5="","",IFERROR(VLOOKUP(D5,Parametri!$A$10:$E$15,2,FALSE()),"?"))</f>
        <v>0.015</v>
      </c>
      <c r="F5" s="18" t="n">
        <v>0</v>
      </c>
      <c r="G5" s="21" t="s">
        <v>52</v>
      </c>
      <c r="H5" s="22" t="n">
        <f aca="false">IF(AND(ISNUMBER(B5),ISNUMBER(C5)),B5*(1+Parametri!$B$6)^C5,"")</f>
        <v>12484.8</v>
      </c>
      <c r="I5" s="23" t="n">
        <f aca="false">IF(AND(ISNUMBER(B5),ISNUMBER(C5),ISNUMBER(E5),ISNUMBER(O5),ISNUMBER(P5)),MAX(0,(H5-IF(ISNUMBER(F5),F5,0)*(1+E5)^(C5-O5)*(1+P5)^O5)/(IF(E5=0,12*(C5-O5),((1+E5)^(C5-O5)-1)/((1+E5)^(1/12)-1))*(1+P5)^O5+IF(P5=0,12*O5,((1+P5)^O5-1)/((1+P5)^(1/12)-1)))),"")</f>
        <v>512.81144226058</v>
      </c>
      <c r="J5" s="24" t="n">
        <f aca="false">IF(ISNUMBER(I5),I5/Parametri!$B$5,"")</f>
        <v>0.427342868550484</v>
      </c>
      <c r="K5" s="20" t="n">
        <f aca="false">IF(D5="","",IFERROR(VLOOKUP(D5,Parametri!$A$10:$E$15,4,FALSE()),""))</f>
        <v>0</v>
      </c>
      <c r="L5" s="22" t="n">
        <f aca="false">IF(AND(ISNUMBER(F5),ISNUMBER(K5)),F5*K5,"")</f>
        <v>0</v>
      </c>
      <c r="M5" s="22" t="n">
        <f aca="false">IF(AND(ISNUMBER(I5),ISNUMBER(K5)),I5*K5,"")</f>
        <v>0</v>
      </c>
      <c r="N5" s="21" t="s">
        <v>53</v>
      </c>
      <c r="O5" s="25" t="n">
        <f aca="false">IF(NOT(ISNUMBER(C5)),"",IF(OR(N5="permanente",NOT(ISNUMBER(K5)),K5&lt;=MIN(Parametri!$D$10:$D$15)),0,MAX(0,MIN(Parametri!$B$7,C5)-1)))</f>
        <v>0</v>
      </c>
      <c r="P5" s="20" t="n">
        <f aca="false">IF(OR(NOT(ISNUMBER(E5)),NOT(ISNUMBER(O5))),"",IF(O5=0,E5,(E5+INDEX(Parametri!$B$10:$B$15,MATCH(MIN(Parametri!$D$10:$D$15),Parametri!$D$10:$D$15,0)))/2))</f>
        <v>0.015</v>
      </c>
    </row>
    <row r="6" customFormat="false" ht="15" hidden="false" customHeight="true" outlineLevel="0" collapsed="false">
      <c r="A6" s="17" t="s">
        <v>54</v>
      </c>
      <c r="B6" s="18" t="n">
        <v>40000</v>
      </c>
      <c r="C6" s="19" t="n">
        <v>6</v>
      </c>
      <c r="D6" s="17" t="s">
        <v>19</v>
      </c>
      <c r="E6" s="20" t="n">
        <f aca="false">IF(D6="","",IFERROR(VLOOKUP(D6,Parametri!$A$10:$E$15,2,FALSE()),"?"))</f>
        <v>0.04</v>
      </c>
      <c r="F6" s="18" t="n">
        <v>5000</v>
      </c>
      <c r="G6" s="21" t="s">
        <v>55</v>
      </c>
      <c r="H6" s="22" t="n">
        <f aca="false">IF(AND(ISNUMBER(B6),ISNUMBER(C6)),B6*(1+Parametri!$B$6)^C6,"")</f>
        <v>45046.49677056</v>
      </c>
      <c r="I6" s="23" t="n">
        <f aca="false">IF(AND(ISNUMBER(B6),ISNUMBER(C6),ISNUMBER(E6),ISNUMBER(O6),ISNUMBER(P6)),MAX(0,(H6-IF(ISNUMBER(F6),F6,0)*(1+E6)^(C6-O6)*(1+P6)^O6)/(IF(E6=0,12*(C6-O6),((1+E6)^(C6-O6)-1)/((1+E6)^(1/12)-1))*(1+P6)^O6+IF(P6=0,12*O6,((1+P6)^O6-1)/((1+P6)^(1/12)-1)))),"")</f>
        <v>500.010234645566</v>
      </c>
      <c r="J6" s="24" t="n">
        <f aca="false">IF(ISNUMBER(I6),I6/Parametri!$B$5,"")</f>
        <v>0.416675195537971</v>
      </c>
      <c r="K6" s="20" t="n">
        <f aca="false">IF(D6="","",IFERROR(VLOOKUP(D6,Parametri!$A$10:$E$15,4,FALSE()),""))</f>
        <v>0.4</v>
      </c>
      <c r="L6" s="22" t="n">
        <f aca="false">IF(AND(ISNUMBER(F6),ISNUMBER(K6)),F6*K6,"")</f>
        <v>2000</v>
      </c>
      <c r="M6" s="22" t="n">
        <f aca="false">IF(AND(ISNUMBER(I6),ISNUMBER(K6)),I6*K6,"")</f>
        <v>200.004093858226</v>
      </c>
      <c r="N6" s="21" t="s">
        <v>56</v>
      </c>
      <c r="O6" s="25" t="n">
        <f aca="false">IF(NOT(ISNUMBER(C6)),"",IF(OR(N6="permanente",NOT(ISNUMBER(K6)),K6&lt;=MIN(Parametri!$D$10:$D$15)),0,MAX(0,MIN(Parametri!$B$7,C6)-1)))</f>
        <v>5</v>
      </c>
      <c r="P6" s="20" t="n">
        <f aca="false">IF(OR(NOT(ISNUMBER(E6)),NOT(ISNUMBER(O6))),"",IF(O6=0,E6,(E6+INDEX(Parametri!$B$10:$B$15,MATCH(MIN(Parametri!$D$10:$D$15),Parametri!$D$10:$D$15,0)))/2))</f>
        <v>0.0275</v>
      </c>
    </row>
    <row r="7" customFormat="false" ht="15" hidden="false" customHeight="true" outlineLevel="0" collapsed="false">
      <c r="A7" s="17" t="s">
        <v>57</v>
      </c>
      <c r="B7" s="18" t="n">
        <v>100000</v>
      </c>
      <c r="C7" s="19" t="n">
        <v>20</v>
      </c>
      <c r="D7" s="17" t="s">
        <v>21</v>
      </c>
      <c r="E7" s="20" t="n">
        <f aca="false">IF(D7="","",IFERROR(VLOOKUP(D7,Parametri!$A$10:$E$15,2,FALSE()),"?"))</f>
        <v>0.055</v>
      </c>
      <c r="F7" s="18" t="n">
        <v>0</v>
      </c>
      <c r="G7" s="21" t="s">
        <v>58</v>
      </c>
      <c r="H7" s="22" t="n">
        <f aca="false">IF(AND(ISNUMBER(B7),ISNUMBER(C7)),B7*(1+Parametri!$B$6)^C7,"")</f>
        <v>148594.739597836</v>
      </c>
      <c r="I7" s="23" t="n">
        <f aca="false">IF(AND(ISNUMBER(B7),ISNUMBER(C7),ISNUMBER(E7),ISNUMBER(O7),ISNUMBER(P7)),MAX(0,(H7-IF(ISNUMBER(F7),F7,0)*(1+E7)^(C7-O7)*(1+P7)^O7)/(IF(E7=0,12*(C7-O7),((1+E7)^(C7-O7)-1)/((1+E7)^(1/12)-1))*(1+P7)^O7+IF(P7=0,12*O7,((1+P7)^O7-1)/((1+P7)^(1/12)-1)))),"")</f>
        <v>384.298624312334</v>
      </c>
      <c r="J7" s="24" t="n">
        <f aca="false">IF(ISNUMBER(I7),I7/Parametri!$B$5,"")</f>
        <v>0.320248853593612</v>
      </c>
      <c r="K7" s="20" t="n">
        <f aca="false">IF(D7="","",IFERROR(VLOOKUP(D7,Parametri!$A$10:$E$15,4,FALSE()),""))</f>
        <v>0.65</v>
      </c>
      <c r="L7" s="22" t="n">
        <f aca="false">IF(AND(ISNUMBER(F7),ISNUMBER(K7)),F7*K7,"")</f>
        <v>0</v>
      </c>
      <c r="M7" s="22" t="n">
        <f aca="false">IF(AND(ISNUMBER(I7),ISNUMBER(K7)),I7*K7,"")</f>
        <v>249.794105803017</v>
      </c>
      <c r="N7" s="21" t="s">
        <v>56</v>
      </c>
      <c r="O7" s="25" t="n">
        <f aca="false">IF(NOT(ISNUMBER(C7)),"",IF(OR(N7="permanente",NOT(ISNUMBER(K7)),K7&lt;=MIN(Parametri!$D$10:$D$15)),0,MAX(0,MIN(Parametri!$B$7,C7)-1)))</f>
        <v>6</v>
      </c>
      <c r="P7" s="20" t="n">
        <f aca="false">IF(OR(NOT(ISNUMBER(E7)),NOT(ISNUMBER(O7))),"",IF(O7=0,E7,(E7+INDEX(Parametri!$B$10:$B$15,MATCH(MIN(Parametri!$D$10:$D$15),Parametri!$D$10:$D$15,0)))/2))</f>
        <v>0.035</v>
      </c>
    </row>
    <row r="8" customFormat="false" ht="15" hidden="false" customHeight="true" outlineLevel="0" collapsed="false">
      <c r="A8" s="17"/>
      <c r="B8" s="18"/>
      <c r="C8" s="19"/>
      <c r="D8" s="17"/>
      <c r="E8" s="20" t="str">
        <f aca="false">IF(D8="","",IFERROR(VLOOKUP(D8,Parametri!$A$10:$E$15,2,FALSE()),"?"))</f>
        <v/>
      </c>
      <c r="F8" s="18"/>
      <c r="G8" s="21"/>
      <c r="H8" s="22" t="str">
        <f aca="false">IF(AND(ISNUMBER(B8),ISNUMBER(C8)),B8*(1+Parametri!$B$6)^C8,"")</f>
        <v/>
      </c>
      <c r="I8" s="23" t="str">
        <f aca="false">IF(AND(ISNUMBER(B8),ISNUMBER(C8),ISNUMBER(E8),ISNUMBER(O8),ISNUMBER(P8)),MAX(0,(H8-IF(ISNUMBER(F8),F8,0)*(1+E8)^(C8-O8)*(1+P8)^O8)/(IF(E8=0,12*(C8-O8),((1+E8)^(C8-O8)-1)/((1+E8)^(1/12)-1))*(1+P8)^O8+IF(P8=0,12*O8,((1+P8)^O8-1)/((1+P8)^(1/12)-1)))),"")</f>
        <v/>
      </c>
      <c r="J8" s="24" t="str">
        <f aca="false">IF(ISNUMBER(I8),I8/Parametri!$B$5,"")</f>
        <v/>
      </c>
      <c r="K8" s="20" t="str">
        <f aca="false">IF(D8="","",IFERROR(VLOOKUP(D8,Parametri!$A$10:$E$15,4,FALSE()),""))</f>
        <v/>
      </c>
      <c r="L8" s="22" t="str">
        <f aca="false">IF(AND(ISNUMBER(F8),ISNUMBER(K8)),F8*K8,"")</f>
        <v/>
      </c>
      <c r="M8" s="22" t="str">
        <f aca="false">IF(AND(ISNUMBER(I8),ISNUMBER(K8)),I8*K8,"")</f>
        <v/>
      </c>
      <c r="N8" s="21"/>
      <c r="O8" s="25" t="str">
        <f aca="false">IF(NOT(ISNUMBER(C8)),"",IF(OR(N8="permanente",NOT(ISNUMBER(K8)),K8&lt;=MIN(Parametri!$D$10:$D$15)),0,MAX(0,MIN(Parametri!$B$7,C8)-1)))</f>
        <v/>
      </c>
      <c r="P8" s="20" t="str">
        <f aca="false">IF(OR(NOT(ISNUMBER(E8)),NOT(ISNUMBER(O8))),"",IF(O8=0,E8,(E8+INDEX(Parametri!$B$10:$B$15,MATCH(MIN(Parametri!$D$10:$D$15),Parametri!$D$10:$D$15,0)))/2))</f>
        <v/>
      </c>
    </row>
    <row r="9" customFormat="false" ht="15" hidden="false" customHeight="true" outlineLevel="0" collapsed="false">
      <c r="A9" s="17"/>
      <c r="B9" s="18"/>
      <c r="C9" s="19"/>
      <c r="D9" s="17"/>
      <c r="E9" s="20" t="str">
        <f aca="false">IF(D9="","",IFERROR(VLOOKUP(D9,Parametri!$A$10:$E$15,2,FALSE()),"?"))</f>
        <v/>
      </c>
      <c r="F9" s="18"/>
      <c r="G9" s="21"/>
      <c r="H9" s="22" t="str">
        <f aca="false">IF(AND(ISNUMBER(B9),ISNUMBER(C9)),B9*(1+Parametri!$B$6)^C9,"")</f>
        <v/>
      </c>
      <c r="I9" s="23" t="str">
        <f aca="false">IF(AND(ISNUMBER(B9),ISNUMBER(C9),ISNUMBER(E9),ISNUMBER(O9),ISNUMBER(P9)),MAX(0,(H9-IF(ISNUMBER(F9),F9,0)*(1+E9)^(C9-O9)*(1+P9)^O9)/(IF(E9=0,12*(C9-O9),((1+E9)^(C9-O9)-1)/((1+E9)^(1/12)-1))*(1+P9)^O9+IF(P9=0,12*O9,((1+P9)^O9-1)/((1+P9)^(1/12)-1)))),"")</f>
        <v/>
      </c>
      <c r="J9" s="24" t="str">
        <f aca="false">IF(ISNUMBER(I9),I9/Parametri!$B$5,"")</f>
        <v/>
      </c>
      <c r="K9" s="20" t="str">
        <f aca="false">IF(D9="","",IFERROR(VLOOKUP(D9,Parametri!$A$10:$E$15,4,FALSE()),""))</f>
        <v/>
      </c>
      <c r="L9" s="22" t="str">
        <f aca="false">IF(AND(ISNUMBER(F9),ISNUMBER(K9)),F9*K9,"")</f>
        <v/>
      </c>
      <c r="M9" s="22" t="str">
        <f aca="false">IF(AND(ISNUMBER(I9),ISNUMBER(K9)),I9*K9,"")</f>
        <v/>
      </c>
      <c r="N9" s="21"/>
      <c r="O9" s="25" t="str">
        <f aca="false">IF(NOT(ISNUMBER(C9)),"",IF(OR(N9="permanente",NOT(ISNUMBER(K9)),K9&lt;=MIN(Parametri!$D$10:$D$15)),0,MAX(0,MIN(Parametri!$B$7,C9)-1)))</f>
        <v/>
      </c>
      <c r="P9" s="20" t="str">
        <f aca="false">IF(OR(NOT(ISNUMBER(E9)),NOT(ISNUMBER(O9))),"",IF(O9=0,E9,(E9+INDEX(Parametri!$B$10:$B$15,MATCH(MIN(Parametri!$D$10:$D$15),Parametri!$D$10:$D$15,0)))/2))</f>
        <v/>
      </c>
    </row>
    <row r="10" customFormat="false" ht="15" hidden="false" customHeight="true" outlineLevel="0" collapsed="false">
      <c r="A10" s="17"/>
      <c r="B10" s="18"/>
      <c r="C10" s="19"/>
      <c r="D10" s="17"/>
      <c r="E10" s="20" t="str">
        <f aca="false">IF(D10="","",IFERROR(VLOOKUP(D10,Parametri!$A$10:$E$15,2,FALSE()),"?"))</f>
        <v/>
      </c>
      <c r="F10" s="18"/>
      <c r="G10" s="21"/>
      <c r="H10" s="22" t="str">
        <f aca="false">IF(AND(ISNUMBER(B10),ISNUMBER(C10)),B10*(1+Parametri!$B$6)^C10,"")</f>
        <v/>
      </c>
      <c r="I10" s="23" t="str">
        <f aca="false">IF(AND(ISNUMBER(B10),ISNUMBER(C10),ISNUMBER(E10),ISNUMBER(O10),ISNUMBER(P10)),MAX(0,(H10-IF(ISNUMBER(F10),F10,0)*(1+E10)^(C10-O10)*(1+P10)^O10)/(IF(E10=0,12*(C10-O10),((1+E10)^(C10-O10)-1)/((1+E10)^(1/12)-1))*(1+P10)^O10+IF(P10=0,12*O10,((1+P10)^O10-1)/((1+P10)^(1/12)-1)))),"")</f>
        <v/>
      </c>
      <c r="J10" s="24" t="str">
        <f aca="false">IF(ISNUMBER(I10),I10/Parametri!$B$5,"")</f>
        <v/>
      </c>
      <c r="K10" s="20" t="str">
        <f aca="false">IF(D10="","",IFERROR(VLOOKUP(D10,Parametri!$A$10:$E$15,4,FALSE()),""))</f>
        <v/>
      </c>
      <c r="L10" s="22" t="str">
        <f aca="false">IF(AND(ISNUMBER(F10),ISNUMBER(K10)),F10*K10,"")</f>
        <v/>
      </c>
      <c r="M10" s="22" t="str">
        <f aca="false">IF(AND(ISNUMBER(I10),ISNUMBER(K10)),I10*K10,"")</f>
        <v/>
      </c>
      <c r="N10" s="21"/>
      <c r="O10" s="25" t="str">
        <f aca="false">IF(NOT(ISNUMBER(C10)),"",IF(OR(N10="permanente",NOT(ISNUMBER(K10)),K10&lt;=MIN(Parametri!$D$10:$D$15)),0,MAX(0,MIN(Parametri!$B$7,C10)-1)))</f>
        <v/>
      </c>
      <c r="P10" s="20" t="str">
        <f aca="false">IF(OR(NOT(ISNUMBER(E10)),NOT(ISNUMBER(O10))),"",IF(O10=0,E10,(E10+INDEX(Parametri!$B$10:$B$15,MATCH(MIN(Parametri!$D$10:$D$15),Parametri!$D$10:$D$15,0)))/2))</f>
        <v/>
      </c>
    </row>
    <row r="11" customFormat="false" ht="15" hidden="false" customHeight="true" outlineLevel="0" collapsed="false">
      <c r="A11" s="17"/>
      <c r="B11" s="18"/>
      <c r="C11" s="19"/>
      <c r="D11" s="17"/>
      <c r="E11" s="20" t="str">
        <f aca="false">IF(D11="","",IFERROR(VLOOKUP(D11,Parametri!$A$10:$E$15,2,FALSE()),"?"))</f>
        <v/>
      </c>
      <c r="F11" s="18"/>
      <c r="G11" s="21"/>
      <c r="H11" s="22" t="str">
        <f aca="false">IF(AND(ISNUMBER(B11),ISNUMBER(C11)),B11*(1+Parametri!$B$6)^C11,"")</f>
        <v/>
      </c>
      <c r="I11" s="23" t="str">
        <f aca="false">IF(AND(ISNUMBER(B11),ISNUMBER(C11),ISNUMBER(E11),ISNUMBER(O11),ISNUMBER(P11)),MAX(0,(H11-IF(ISNUMBER(F11),F11,0)*(1+E11)^(C11-O11)*(1+P11)^O11)/(IF(E11=0,12*(C11-O11),((1+E11)^(C11-O11)-1)/((1+E11)^(1/12)-1))*(1+P11)^O11+IF(P11=0,12*O11,((1+P11)^O11-1)/((1+P11)^(1/12)-1)))),"")</f>
        <v/>
      </c>
      <c r="J11" s="24" t="str">
        <f aca="false">IF(ISNUMBER(I11),I11/Parametri!$B$5,"")</f>
        <v/>
      </c>
      <c r="K11" s="20" t="str">
        <f aca="false">IF(D11="","",IFERROR(VLOOKUP(D11,Parametri!$A$10:$E$15,4,FALSE()),""))</f>
        <v/>
      </c>
      <c r="L11" s="22" t="str">
        <f aca="false">IF(AND(ISNUMBER(F11),ISNUMBER(K11)),F11*K11,"")</f>
        <v/>
      </c>
      <c r="M11" s="22" t="str">
        <f aca="false">IF(AND(ISNUMBER(I11),ISNUMBER(K11)),I11*K11,"")</f>
        <v/>
      </c>
      <c r="N11" s="21"/>
      <c r="O11" s="25" t="str">
        <f aca="false">IF(NOT(ISNUMBER(C11)),"",IF(OR(N11="permanente",NOT(ISNUMBER(K11)),K11&lt;=MIN(Parametri!$D$10:$D$15)),0,MAX(0,MIN(Parametri!$B$7,C11)-1)))</f>
        <v/>
      </c>
      <c r="P11" s="20" t="str">
        <f aca="false">IF(OR(NOT(ISNUMBER(E11)),NOT(ISNUMBER(O11))),"",IF(O11=0,E11,(E11+INDEX(Parametri!$B$10:$B$15,MATCH(MIN(Parametri!$D$10:$D$15),Parametri!$D$10:$D$15,0)))/2))</f>
        <v/>
      </c>
    </row>
    <row r="12" customFormat="false" ht="15" hidden="false" customHeight="true" outlineLevel="0" collapsed="false">
      <c r="A12" s="17"/>
      <c r="B12" s="18"/>
      <c r="C12" s="19"/>
      <c r="D12" s="17"/>
      <c r="E12" s="20" t="str">
        <f aca="false">IF(D12="","",IFERROR(VLOOKUP(D12,Parametri!$A$10:$E$15,2,FALSE()),"?"))</f>
        <v/>
      </c>
      <c r="F12" s="18"/>
      <c r="G12" s="21"/>
      <c r="H12" s="22" t="str">
        <f aca="false">IF(AND(ISNUMBER(B12),ISNUMBER(C12)),B12*(1+Parametri!$B$6)^C12,"")</f>
        <v/>
      </c>
      <c r="I12" s="23" t="str">
        <f aca="false">IF(AND(ISNUMBER(B12),ISNUMBER(C12),ISNUMBER(E12),ISNUMBER(O12),ISNUMBER(P12)),MAX(0,(H12-IF(ISNUMBER(F12),F12,0)*(1+E12)^(C12-O12)*(1+P12)^O12)/(IF(E12=0,12*(C12-O12),((1+E12)^(C12-O12)-1)/((1+E12)^(1/12)-1))*(1+P12)^O12+IF(P12=0,12*O12,((1+P12)^O12-1)/((1+P12)^(1/12)-1)))),"")</f>
        <v/>
      </c>
      <c r="J12" s="24" t="str">
        <f aca="false">IF(ISNUMBER(I12),I12/Parametri!$B$5,"")</f>
        <v/>
      </c>
      <c r="K12" s="20" t="str">
        <f aca="false">IF(D12="","",IFERROR(VLOOKUP(D12,Parametri!$A$10:$E$15,4,FALSE()),""))</f>
        <v/>
      </c>
      <c r="L12" s="22" t="str">
        <f aca="false">IF(AND(ISNUMBER(F12),ISNUMBER(K12)),F12*K12,"")</f>
        <v/>
      </c>
      <c r="M12" s="22" t="str">
        <f aca="false">IF(AND(ISNUMBER(I12),ISNUMBER(K12)),I12*K12,"")</f>
        <v/>
      </c>
      <c r="N12" s="21"/>
      <c r="O12" s="25" t="str">
        <f aca="false">IF(NOT(ISNUMBER(C12)),"",IF(OR(N12="permanente",NOT(ISNUMBER(K12)),K12&lt;=MIN(Parametri!$D$10:$D$15)),0,MAX(0,MIN(Parametri!$B$7,C12)-1)))</f>
        <v/>
      </c>
      <c r="P12" s="20" t="str">
        <f aca="false">IF(OR(NOT(ISNUMBER(E12)),NOT(ISNUMBER(O12))),"",IF(O12=0,E12,(E12+INDEX(Parametri!$B$10:$B$15,MATCH(MIN(Parametri!$D$10:$D$15),Parametri!$D$10:$D$15,0)))/2))</f>
        <v/>
      </c>
    </row>
    <row r="13" customFormat="false" ht="15" hidden="false" customHeight="true" outlineLevel="0" collapsed="false">
      <c r="A13" s="17"/>
      <c r="B13" s="18"/>
      <c r="C13" s="19"/>
      <c r="D13" s="17"/>
      <c r="E13" s="20" t="str">
        <f aca="false">IF(D13="","",IFERROR(VLOOKUP(D13,Parametri!$A$10:$E$15,2,FALSE()),"?"))</f>
        <v/>
      </c>
      <c r="F13" s="18"/>
      <c r="G13" s="21"/>
      <c r="H13" s="22" t="str">
        <f aca="false">IF(AND(ISNUMBER(B13),ISNUMBER(C13)),B13*(1+Parametri!$B$6)^C13,"")</f>
        <v/>
      </c>
      <c r="I13" s="23" t="str">
        <f aca="false">IF(AND(ISNUMBER(B13),ISNUMBER(C13),ISNUMBER(E13),ISNUMBER(O13),ISNUMBER(P13)),MAX(0,(H13-IF(ISNUMBER(F13),F13,0)*(1+E13)^(C13-O13)*(1+P13)^O13)/(IF(E13=0,12*(C13-O13),((1+E13)^(C13-O13)-1)/((1+E13)^(1/12)-1))*(1+P13)^O13+IF(P13=0,12*O13,((1+P13)^O13-1)/((1+P13)^(1/12)-1)))),"")</f>
        <v/>
      </c>
      <c r="J13" s="24" t="str">
        <f aca="false">IF(ISNUMBER(I13),I13/Parametri!$B$5,"")</f>
        <v/>
      </c>
      <c r="K13" s="20" t="str">
        <f aca="false">IF(D13="","",IFERROR(VLOOKUP(D13,Parametri!$A$10:$E$15,4,FALSE()),""))</f>
        <v/>
      </c>
      <c r="L13" s="22" t="str">
        <f aca="false">IF(AND(ISNUMBER(F13),ISNUMBER(K13)),F13*K13,"")</f>
        <v/>
      </c>
      <c r="M13" s="22" t="str">
        <f aca="false">IF(AND(ISNUMBER(I13),ISNUMBER(K13)),I13*K13,"")</f>
        <v/>
      </c>
      <c r="N13" s="21"/>
      <c r="O13" s="25" t="str">
        <f aca="false">IF(NOT(ISNUMBER(C13)),"",IF(OR(N13="permanente",NOT(ISNUMBER(K13)),K13&lt;=MIN(Parametri!$D$10:$D$15)),0,MAX(0,MIN(Parametri!$B$7,C13)-1)))</f>
        <v/>
      </c>
      <c r="P13" s="20" t="str">
        <f aca="false">IF(OR(NOT(ISNUMBER(E13)),NOT(ISNUMBER(O13))),"",IF(O13=0,E13,(E13+INDEX(Parametri!$B$10:$B$15,MATCH(MIN(Parametri!$D$10:$D$15),Parametri!$D$10:$D$15,0)))/2))</f>
        <v/>
      </c>
    </row>
    <row r="14" customFormat="false" ht="15" hidden="false" customHeight="true" outlineLevel="0" collapsed="false">
      <c r="A14" s="17"/>
      <c r="B14" s="18"/>
      <c r="C14" s="19"/>
      <c r="D14" s="17"/>
      <c r="E14" s="20" t="str">
        <f aca="false">IF(D14="","",IFERROR(VLOOKUP(D14,Parametri!$A$10:$E$15,2,FALSE()),"?"))</f>
        <v/>
      </c>
      <c r="F14" s="18"/>
      <c r="G14" s="21"/>
      <c r="H14" s="22" t="str">
        <f aca="false">IF(AND(ISNUMBER(B14),ISNUMBER(C14)),B14*(1+Parametri!$B$6)^C14,"")</f>
        <v/>
      </c>
      <c r="I14" s="23" t="str">
        <f aca="false">IF(AND(ISNUMBER(B14),ISNUMBER(C14),ISNUMBER(E14),ISNUMBER(O14),ISNUMBER(P14)),MAX(0,(H14-IF(ISNUMBER(F14),F14,0)*(1+E14)^(C14-O14)*(1+P14)^O14)/(IF(E14=0,12*(C14-O14),((1+E14)^(C14-O14)-1)/((1+E14)^(1/12)-1))*(1+P14)^O14+IF(P14=0,12*O14,((1+P14)^O14-1)/((1+P14)^(1/12)-1)))),"")</f>
        <v/>
      </c>
      <c r="J14" s="24" t="str">
        <f aca="false">IF(ISNUMBER(I14),I14/Parametri!$B$5,"")</f>
        <v/>
      </c>
      <c r="K14" s="20" t="str">
        <f aca="false">IF(D14="","",IFERROR(VLOOKUP(D14,Parametri!$A$10:$E$15,4,FALSE()),""))</f>
        <v/>
      </c>
      <c r="L14" s="22" t="str">
        <f aca="false">IF(AND(ISNUMBER(F14),ISNUMBER(K14)),F14*K14,"")</f>
        <v/>
      </c>
      <c r="M14" s="22" t="str">
        <f aca="false">IF(AND(ISNUMBER(I14),ISNUMBER(K14)),I14*K14,"")</f>
        <v/>
      </c>
      <c r="N14" s="21"/>
      <c r="O14" s="25" t="str">
        <f aca="false">IF(NOT(ISNUMBER(C14)),"",IF(OR(N14="permanente",NOT(ISNUMBER(K14)),K14&lt;=MIN(Parametri!$D$10:$D$15)),0,MAX(0,MIN(Parametri!$B$7,C14)-1)))</f>
        <v/>
      </c>
      <c r="P14" s="20" t="str">
        <f aca="false">IF(OR(NOT(ISNUMBER(E14)),NOT(ISNUMBER(O14))),"",IF(O14=0,E14,(E14+INDEX(Parametri!$B$10:$B$15,MATCH(MIN(Parametri!$D$10:$D$15),Parametri!$D$10:$D$15,0)))/2))</f>
        <v/>
      </c>
    </row>
    <row r="16" customFormat="false" ht="15" hidden="false" customHeight="true" outlineLevel="0" collapsed="false">
      <c r="A16" s="14" t="s">
        <v>59</v>
      </c>
      <c r="I16" s="26" t="n">
        <f aca="false">SUM(I5:I14)</f>
        <v>1397.12030121848</v>
      </c>
      <c r="J16" s="27" t="n">
        <f aca="false">IF(I16="","",I16/Parametri!$B$5)</f>
        <v>1.16426691768207</v>
      </c>
      <c r="L16" s="26" t="n">
        <f aca="false">SUM(L5:L14)</f>
        <v>2000</v>
      </c>
      <c r="M16" s="26" t="n">
        <f aca="false">SUM(M5:M14)</f>
        <v>449.798199661243</v>
      </c>
    </row>
  </sheetData>
  <mergeCells count="2">
    <mergeCell ref="A1:J1"/>
    <mergeCell ref="A2:P2"/>
  </mergeCells>
  <dataValidations count="3">
    <dataValidation allowBlank="true" errorStyle="stop" operator="between" showDropDown="false" showErrorMessage="false" showInputMessage="false" sqref="D5:D14" type="list">
      <formula1>"Preservazione,Conservativo,Moderato,Crescita,Crescita massima,Azionario totale"</formula1>
      <formula2>0</formula2>
    </dataValidation>
    <dataValidation allowBlank="true" errorStyle="stop" operator="between" showDropDown="false" showErrorMessage="false" showInputMessage="false" sqref="G5:G14" type="list">
      <formula1>"essenziale,importante,desiderabile"</formula1>
      <formula2>0</formula2>
    </dataValidation>
    <dataValidation allowBlank="true" errorStyle="stop" operator="between" showDropDown="false" showErrorMessage="false" showInputMessage="false" sqref="N5:N14" type="list">
      <formula1>"terminante,permanente"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2"/>
  </cols>
  <sheetData>
    <row r="1" customFormat="false" ht="17.25" hidden="false" customHeight="true" outlineLevel="0" collapsed="false">
      <c r="A1" s="2" t="s">
        <v>60</v>
      </c>
      <c r="B1" s="2"/>
      <c r="C1" s="2"/>
    </row>
    <row r="2" customFormat="false" ht="15" hidden="false" customHeight="true" outlineLevel="0" collapsed="false">
      <c r="A2" s="3" t="s">
        <v>61</v>
      </c>
      <c r="B2" s="3"/>
      <c r="C2" s="3"/>
    </row>
    <row r="4" customFormat="false" ht="15" hidden="false" customHeight="true" outlineLevel="0" collapsed="false">
      <c r="A4" s="4" t="s">
        <v>62</v>
      </c>
      <c r="B4" s="4"/>
      <c r="C4" s="4"/>
    </row>
    <row r="5" customFormat="false" ht="15" hidden="false" customHeight="true" outlineLevel="0" collapsed="false">
      <c r="A5" s="5" t="s">
        <v>63</v>
      </c>
      <c r="B5" s="28" t="n">
        <f aca="false">Obiettivi!I16</f>
        <v>1397.12030121848</v>
      </c>
    </row>
    <row r="6" customFormat="false" ht="15" hidden="false" customHeight="true" outlineLevel="0" collapsed="false">
      <c r="A6" s="5" t="s">
        <v>3</v>
      </c>
      <c r="B6" s="28" t="n">
        <f aca="false">Parametri!B5</f>
        <v>1200</v>
      </c>
    </row>
    <row r="7" customFormat="false" ht="15" hidden="false" customHeight="true" outlineLevel="0" collapsed="false">
      <c r="A7" s="14" t="s">
        <v>64</v>
      </c>
      <c r="B7" s="29" t="n">
        <f aca="false">B6-B5</f>
        <v>-197.12030121848</v>
      </c>
    </row>
    <row r="8" customFormat="false" ht="15" hidden="false" customHeight="true" outlineLevel="0" collapsed="false">
      <c r="A8" s="14" t="s">
        <v>65</v>
      </c>
      <c r="B8" s="30" t="str">
        <f aca="false">IF(B7&gt;=0,"Sostenibile","NON sostenibile")</f>
        <v>NON sostenibile</v>
      </c>
    </row>
    <row r="9" customFormat="false" ht="15" hidden="false" customHeight="true" outlineLevel="0" collapsed="false">
      <c r="A9" s="5" t="s">
        <v>66</v>
      </c>
      <c r="B9" s="31" t="n">
        <f aca="false">IFERROR(B5/B6,0)</f>
        <v>1.16426691768207</v>
      </c>
    </row>
    <row r="11" customFormat="false" ht="15" hidden="false" customHeight="true" outlineLevel="0" collapsed="false">
      <c r="A11" s="4" t="s">
        <v>67</v>
      </c>
      <c r="B11" s="4"/>
      <c r="C11" s="4"/>
    </row>
    <row r="12" customFormat="false" ht="15" hidden="false" customHeight="true" outlineLevel="0" collapsed="false">
      <c r="A12" s="5" t="s">
        <v>68</v>
      </c>
      <c r="B12" s="32" t="n">
        <f aca="false">SUMIF(Obiettivi!G5:G14,"essenziale",Obiettivi!I5:I14)</f>
        <v>512.81144226058</v>
      </c>
    </row>
    <row r="13" customFormat="false" ht="15" hidden="false" customHeight="true" outlineLevel="0" collapsed="false">
      <c r="A13" s="5" t="s">
        <v>69</v>
      </c>
      <c r="B13" s="32" t="n">
        <f aca="false">SUMIF(Obiettivi!G5:G14,"importante",Obiettivi!I5:I14)</f>
        <v>500.010234645566</v>
      </c>
    </row>
    <row r="14" customFormat="false" ht="15" hidden="false" customHeight="true" outlineLevel="0" collapsed="false">
      <c r="A14" s="5" t="s">
        <v>70</v>
      </c>
      <c r="B14" s="32" t="n">
        <f aca="false">SUMIF(Obiettivi!G5:G14,"desiderabile",Obiettivi!I5:I14)</f>
        <v>384.298624312334</v>
      </c>
    </row>
    <row r="16" customFormat="false" ht="15" hidden="false" customHeight="true" outlineLevel="0" collapsed="false">
      <c r="A16" s="4" t="s">
        <v>71</v>
      </c>
      <c r="B16" s="4"/>
      <c r="C16" s="4"/>
    </row>
    <row r="17" customFormat="false" ht="15" hidden="false" customHeight="true" outlineLevel="0" collapsed="false">
      <c r="A17" s="7" t="s">
        <v>72</v>
      </c>
    </row>
    <row r="18" customFormat="false" ht="15" hidden="false" customHeight="true" outlineLevel="0" collapsed="false">
      <c r="A18" s="5" t="s">
        <v>73</v>
      </c>
      <c r="B18" s="28" t="n">
        <f aca="false">SUM(Obiettivi!F5:F14)</f>
        <v>5000</v>
      </c>
    </row>
    <row r="19" customFormat="false" ht="15" hidden="false" customHeight="true" outlineLevel="0" collapsed="false">
      <c r="A19" s="5" t="s">
        <v>74</v>
      </c>
      <c r="B19" s="28" t="n">
        <f aca="false">Obiettivi!L16</f>
        <v>2000</v>
      </c>
    </row>
    <row r="20" customFormat="false" ht="15" hidden="false" customHeight="true" outlineLevel="0" collapsed="false">
      <c r="A20" s="5" t="s">
        <v>75</v>
      </c>
      <c r="B20" s="32" t="n">
        <f aca="false">B18-B19</f>
        <v>3000</v>
      </c>
    </row>
    <row r="21" customFormat="false" ht="15" hidden="false" customHeight="true" outlineLevel="0" collapsed="false">
      <c r="A21" s="14" t="s">
        <v>76</v>
      </c>
      <c r="B21" s="33" t="n">
        <f aca="false">IFERROR(B19/B18,0)</f>
        <v>0.4</v>
      </c>
    </row>
    <row r="22" customFormat="false" ht="15" hidden="false" customHeight="true" outlineLevel="0" collapsed="false">
      <c r="A22" s="14" t="s">
        <v>77</v>
      </c>
      <c r="B22" s="33" t="n">
        <f aca="false">IFERROR(B20/B18,0)</f>
        <v>0.6</v>
      </c>
    </row>
    <row r="24" customFormat="false" ht="15" hidden="false" customHeight="true" outlineLevel="0" collapsed="false">
      <c r="A24" s="7" t="s">
        <v>78</v>
      </c>
    </row>
    <row r="25" customFormat="false" ht="15" hidden="false" customHeight="true" outlineLevel="0" collapsed="false">
      <c r="A25" s="5" t="s">
        <v>79</v>
      </c>
      <c r="B25" s="28" t="n">
        <f aca="false">Obiettivi!I16</f>
        <v>1397.12030121848</v>
      </c>
    </row>
    <row r="26" customFormat="false" ht="15" hidden="false" customHeight="true" outlineLevel="0" collapsed="false">
      <c r="A26" s="5" t="s">
        <v>80</v>
      </c>
      <c r="B26" s="28" t="n">
        <f aca="false">Obiettivi!M16</f>
        <v>449.798199661243</v>
      </c>
    </row>
    <row r="27" customFormat="false" ht="15" hidden="false" customHeight="true" outlineLevel="0" collapsed="false">
      <c r="A27" s="5" t="s">
        <v>81</v>
      </c>
      <c r="B27" s="31" t="n">
        <f aca="false">IFERROR(B26/B25,0)</f>
        <v>0.321946649310698</v>
      </c>
    </row>
    <row r="29" customFormat="false" ht="15" hidden="false" customHeight="true" outlineLevel="0" collapsed="false">
      <c r="A29" s="14" t="s">
        <v>82</v>
      </c>
    </row>
    <row r="30" customFormat="false" ht="15" hidden="false" customHeight="true" outlineLevel="0" collapsed="false">
      <c r="A30" s="15" t="s">
        <v>83</v>
      </c>
      <c r="B30" s="15"/>
      <c r="C30" s="15"/>
      <c r="D30" s="15"/>
    </row>
    <row r="31" customFormat="false" ht="15" hidden="false" customHeight="true" outlineLevel="0" collapsed="false">
      <c r="A31" s="15" t="s">
        <v>84</v>
      </c>
      <c r="B31" s="15"/>
      <c r="C31" s="15"/>
      <c r="D31" s="15"/>
    </row>
    <row r="32" customFormat="false" ht="15" hidden="false" customHeight="true" outlineLevel="0" collapsed="false">
      <c r="A32" s="15" t="s">
        <v>85</v>
      </c>
      <c r="B32" s="15"/>
      <c r="C32" s="15"/>
      <c r="D32" s="15"/>
    </row>
    <row r="33" customFormat="false" ht="15" hidden="false" customHeight="true" outlineLevel="0" collapsed="false">
      <c r="A33" s="15" t="s">
        <v>86</v>
      </c>
      <c r="B33" s="15"/>
      <c r="C33" s="15"/>
      <c r="D33" s="15"/>
    </row>
    <row r="34" customFormat="false" ht="15" hidden="false" customHeight="true" outlineLevel="0" collapsed="false">
      <c r="A34" s="15" t="s">
        <v>87</v>
      </c>
      <c r="B34" s="15"/>
      <c r="C34" s="15"/>
      <c r="D34" s="15"/>
    </row>
    <row r="35" customFormat="false" ht="15" hidden="false" customHeight="true" outlineLevel="0" collapsed="false">
      <c r="A35" s="15" t="s">
        <v>88</v>
      </c>
      <c r="B35" s="15"/>
      <c r="C35" s="15"/>
      <c r="D35" s="15"/>
    </row>
    <row r="37" customFormat="false" ht="15" hidden="false" customHeight="true" outlineLevel="0" collapsed="false">
      <c r="A37" s="14" t="s">
        <v>89</v>
      </c>
    </row>
    <row r="38" customFormat="false" ht="15" hidden="false" customHeight="true" outlineLevel="0" collapsed="false">
      <c r="A38" s="15" t="s">
        <v>90</v>
      </c>
      <c r="B38" s="15"/>
      <c r="C38" s="15"/>
      <c r="D38" s="15"/>
    </row>
    <row r="39" customFormat="false" ht="15" hidden="false" customHeight="true" outlineLevel="0" collapsed="false">
      <c r="A39" s="15" t="s">
        <v>91</v>
      </c>
      <c r="B39" s="15"/>
      <c r="C39" s="15"/>
      <c r="D39" s="15"/>
    </row>
    <row r="40" customFormat="false" ht="15" hidden="false" customHeight="true" outlineLevel="0" collapsed="false">
      <c r="A40" s="15" t="s">
        <v>92</v>
      </c>
      <c r="B40" s="15"/>
      <c r="C40" s="15"/>
      <c r="D40" s="15"/>
    </row>
    <row r="41" customFormat="false" ht="15" hidden="false" customHeight="true" outlineLevel="0" collapsed="false">
      <c r="A41" s="15" t="s">
        <v>93</v>
      </c>
      <c r="B41" s="15"/>
      <c r="C41" s="15"/>
      <c r="D41" s="15"/>
    </row>
    <row r="42" customFormat="false" ht="15" hidden="false" customHeight="true" outlineLevel="0" collapsed="false">
      <c r="A42" s="15" t="s">
        <v>94</v>
      </c>
      <c r="B42" s="15"/>
      <c r="C42" s="15"/>
      <c r="D42" s="15"/>
    </row>
    <row r="43" customFormat="false" ht="15" hidden="false" customHeight="true" outlineLevel="0" collapsed="false">
      <c r="A43" s="15" t="s">
        <v>95</v>
      </c>
      <c r="B43" s="15"/>
      <c r="C43" s="15"/>
      <c r="D43" s="15"/>
    </row>
    <row r="45" customFormat="false" ht="15" hidden="false" customHeight="true" outlineLevel="0" collapsed="false">
      <c r="A45" s="3" t="s">
        <v>96</v>
      </c>
      <c r="B45" s="3"/>
      <c r="C45" s="3"/>
      <c r="D45" s="3"/>
    </row>
  </sheetData>
  <mergeCells count="18">
    <mergeCell ref="A1:C1"/>
    <mergeCell ref="A2:C2"/>
    <mergeCell ref="A4:C4"/>
    <mergeCell ref="A11:C11"/>
    <mergeCell ref="A16:C16"/>
    <mergeCell ref="A30:D30"/>
    <mergeCell ref="A31:D31"/>
    <mergeCell ref="A32:D32"/>
    <mergeCell ref="A33:D33"/>
    <mergeCell ref="A34:D34"/>
    <mergeCell ref="A35:D35"/>
    <mergeCell ref="A38:D38"/>
    <mergeCell ref="A39:D39"/>
    <mergeCell ref="A40:D40"/>
    <mergeCell ref="A41:D41"/>
    <mergeCell ref="A42:D42"/>
    <mergeCell ref="A43:D43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2026-06-24T15:25:49Z</dcterms:created>
  <dc:creator>openpyxl</dc:creator>
  <dc:description/>
  <dc:language>en-US</dc:language>
  <cp:lastModifiedBy/>
  <dcterms:modified xsi:type="dcterms:W3CDTF">2026-06-27T10:38:52Z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