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ubblica" sheetId="3" state="visible" r:id="rId5"/>
    <sheet name="Complementare" sheetId="4" state="visible" r:id="rId6"/>
    <sheet name="Scenar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<sst xmlns="http://schemas.openxmlformats.org/spreadsheetml/2006/main" count="150" uniqueCount="141">
  <si>
    <t xml:space="preserve">Proiezione pensionistica — Parametri di input</t>
  </si>
  <si>
    <t xml:space="preserve">Modifica le celle in BLU per personalizzare. Le formule (nero) si aggiornano automaticamente. Tutti gli importi sono in euro di oggi (valori reali).</t>
  </si>
  <si>
    <t xml:space="preserve">ANAGRAFICA E PROFILO</t>
  </si>
  <si>
    <t xml:space="preserve">Età corrente</t>
  </si>
  <si>
    <t xml:space="preserve">anni</t>
  </si>
  <si>
    <t xml:space="preserve">Età target pensionamento</t>
  </si>
  <si>
    <t xml:space="preserve">anni (range 57-71)</t>
  </si>
  <si>
    <t xml:space="preserve">Sesso</t>
  </si>
  <si>
    <t xml:space="preserve">M</t>
  </si>
  <si>
    <t xml:space="preserve">M / F</t>
  </si>
  <si>
    <t xml:space="preserve">LAVORO E REDDITO</t>
  </si>
  <si>
    <t xml:space="preserve">RAL lorda attuale</t>
  </si>
  <si>
    <t xml:space="preserve">€/anno</t>
  </si>
  <si>
    <t xml:space="preserve">Anzianità INPS corrente</t>
  </si>
  <si>
    <t xml:space="preserve">Crescita RAL reale annua</t>
  </si>
  <si>
    <t xml:space="preserve">es. 1,5% = 0,015</t>
  </si>
  <si>
    <t xml:space="preserve">Aliquota contribuzione dipendente</t>
  </si>
  <si>
    <t xml:space="preserve">fissa: 33% per lavoro dipendente</t>
  </si>
  <si>
    <t xml:space="preserve">Montante INPS da estratto conto</t>
  </si>
  <si>
    <t xml:space="preserve">€ ad oggi dal sito INPS; 0 = usa la stima</t>
  </si>
  <si>
    <t xml:space="preserve">MACROECONOMIA</t>
  </si>
  <si>
    <t xml:space="preserve">Rivalutazione PIL reale annua (montante INPS)</t>
  </si>
  <si>
    <t xml:space="preserve">PIL nominale per legge, meno l'inflazione: ~0,5% (come proiezione-inps.py)</t>
  </si>
  <si>
    <t xml:space="preserve">Inflazione attesa</t>
  </si>
  <si>
    <t xml:space="preserve">target BCE 2%; serve solo alla vista nominale degli Scenari</t>
  </si>
  <si>
    <t xml:space="preserve">Decadimento coefficiente / biennio</t>
  </si>
  <si>
    <t xml:space="preserve">calo storico ~1,8% per biennio; 0 = congelato</t>
  </si>
  <si>
    <t xml:space="preserve">TFR</t>
  </si>
  <si>
    <t xml:space="preserve">TFR conferito a fondo (1=sì, 0=no)</t>
  </si>
  <si>
    <t xml:space="preserve">1 = conferito; 0 = in azienda</t>
  </si>
  <si>
    <t xml:space="preserve">Saldo TFR già accumulato</t>
  </si>
  <si>
    <t xml:space="preserve">€ ad oggi (in azienda o conferito)</t>
  </si>
  <si>
    <t xml:space="preserve">FONDO PENSIONE COMPLEMENTARE</t>
  </si>
  <si>
    <t xml:space="preserve">Montante fondo accumulato (escluso TFR)</t>
  </si>
  <si>
    <t xml:space="preserve">€ ad oggi</t>
  </si>
  <si>
    <t xml:space="preserve">Contributo volontario annuo</t>
  </si>
  <si>
    <t xml:space="preserve">€/anno (max €5.300 deducibili)</t>
  </si>
  <si>
    <t xml:space="preserve">Contributo datore (% RAL)</t>
  </si>
  <si>
    <t xml:space="preserve">es. 1,5% per CCNL metalmeccanici</t>
  </si>
  <si>
    <t xml:space="preserve">Rendimento netto comparto</t>
  </si>
  <si>
    <t xml:space="preserve">es. bilanciato ~3,5% netto</t>
  </si>
  <si>
    <t xml:space="preserve">Anni di partecipazione correnti</t>
  </si>
  <si>
    <t xml:space="preserve">per calcolo aliquota finale 15→9%</t>
  </si>
  <si>
    <t xml:space="preserve">SPESE E OBIETTIVI</t>
  </si>
  <si>
    <t xml:space="preserve">Spesa mensile attuale</t>
  </si>
  <si>
    <t xml:space="preserve">€/mese</t>
  </si>
  <si>
    <t xml:space="preserve">Fattore riduzione spesa post-pensione</t>
  </si>
  <si>
    <t xml:space="preserve">tipico 0,75-0,85</t>
  </si>
  <si>
    <t xml:space="preserve">VALORI DERIVATI (formule)</t>
  </si>
  <si>
    <t xml:space="preserve">Anni residui al pensionamento</t>
  </si>
  <si>
    <t xml:space="preserve">calcolato</t>
  </si>
  <si>
    <t xml:space="preserve">Aliquota IRPEF marginale stimata</t>
  </si>
  <si>
    <t xml:space="preserve">scaglioni 2026</t>
  </si>
  <si>
    <t xml:space="preserve">Aliquota fondo finale al pensionamento</t>
  </si>
  <si>
    <t xml:space="preserve">15% → 9% (-0,30%/anno dopo il 15°)</t>
  </si>
  <si>
    <t xml:space="preserve">Spesa annua target (valori reali)</t>
  </si>
  <si>
    <t xml:space="preserve">spesa mensile × 12 × fattore</t>
  </si>
  <si>
    <t xml:space="preserve">Coefficiente proiettato al pensionamento</t>
  </si>
  <si>
    <t xml:space="preserve">coeff. attuale ridotto per i bienni mancanti</t>
  </si>
  <si>
    <t xml:space="preserve">PARAMETRI NORMATIVI 2026</t>
  </si>
  <si>
    <t xml:space="preserve">Massimale contributivo annuo</t>
  </si>
  <si>
    <t xml:space="preserve">Circ. INPS 6/2026; oltre non si versano contributi (iscritti dal 1996)</t>
  </si>
  <si>
    <t xml:space="preserve">Coefficienti di trasformazione — biennio 2025-2026</t>
  </si>
  <si>
    <t xml:space="preserve">Fonte: Decreto direttoriale del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</si>
  <si>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</si>
  <si>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</si>
  <si>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</si>
  <si>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 OPERATIVE:</t>
  </si>
  <si>
    <t xml:space="preserve">1. Tasso di sconto del decreto: 1,5%. Questi valori valgono per pensioni con decorrenza 2025-2026.</t>
  </si>
  <si>
    <t xml:space="preserve">2. Età non intere: coefficiente(y, m) = coef(y) + (m/12) × (coef(y+1) - coef(y))</t>
  </si>
  <si>
    <t xml:space="preserve">3. I coefficienti CALANO ~1,5-2,2% per biennio (speranza di vita). Per pensioni future, il foglio</t>
  </si>
  <si>
    <t xml:space="preserve">   Input proietta il coefficiente in avanti tramite il 'Decadimento coefficiente / biennio'.</t>
  </si>
  <si>
    <t xml:space="preserve">4. Chi va in pensione tra molti anni avrà un coefficiente più basso di quelli in tabella: la</t>
  </si>
  <si>
    <t xml:space="preserve">   tabella è la base 2025-2026, la proiezione la riduce per i bienni mancanti.</t>
  </si>
  <si>
    <t xml:space="preserve">5. Per pensionati prossimi: verificare il coefficiente esatto sul sito INPS.</t>
  </si>
  <si>
    <t xml:space="preserve">Proiezione previdenza obbligatoria INPS</t>
  </si>
  <si>
    <t xml:space="preserve">Proiezione anno per anno del montante contributivo INPS, in euro di oggi (RAL reale, PIL reale). Il contributo dell'anno si rivaluta dall'anno successivo (L. 335/1995) e la retribuzione oltre il massimale non versa contributi. La pensione usa il coefficiente PROIETTATO all'anno di pensionamento (vedi foglio Input), non quello attuale.</t>
  </si>
  <si>
    <t xml:space="preserve">Anno offset</t>
  </si>
  <si>
    <t xml:space="preserve">RAL lorda</t>
  </si>
  <si>
    <t xml:space="preserve">Contributo (33%, fino al massimale)</t>
  </si>
  <si>
    <t xml:space="preserve">Montante inizio</t>
  </si>
  <si>
    <t xml:space="preserve">Rivalutazione</t>
  </si>
  <si>
    <t xml:space="preserve">Montante fine</t>
  </si>
  <si>
    <t xml:space="preserve">RISULTATI FINALI A PENSIONAMENTO</t>
  </si>
  <si>
    <t xml:space="preserve">Montante INPS finale al pensionamento</t>
  </si>
  <si>
    <t xml:space="preserve">Coefficiente ATTUALE 2025-2026 (riferimento)</t>
  </si>
  <si>
    <t xml:space="preserve">Coefficiente PROIETTATO al pensionamento (usato)</t>
  </si>
  <si>
    <t xml:space="preserve">Pensione lorda annua</t>
  </si>
  <si>
    <t xml:space="preserve">Pensione lorda mensile (13 mensilità)</t>
  </si>
  <si>
    <t xml:space="preserve">IRPEF lorda su pensione (scaglioni 2026)</t>
  </si>
  <si>
    <t xml:space="preserve">Detrazione pensionati (art. 13 c. 3 TUIR)</t>
  </si>
  <si>
    <t xml:space="preserve">Addizionali regionali + comunali (~2%, se c'è IRPEF)</t>
  </si>
  <si>
    <t xml:space="preserve">Pensione NETTA annua</t>
  </si>
  <si>
    <t xml:space="preserve">Pensione NETTA mensile</t>
  </si>
  <si>
    <t xml:space="preserve">Tasso di sostituzione lordo (pens / RAL finale)</t>
  </si>
  <si>
    <t xml:space="preserve">Nota: il coefficiente proiettato è inferiore a quello attuale perché i coefficienti calano nel tempo (speranza di vita). Usare quello attuale per una pensione lontana SOVRASTIMA l'assegno.</t>
  </si>
  <si>
    <t xml:space="preserve">Proiezione previdenza complementare</t>
  </si>
  <si>
    <t xml:space="preserve">Proiezione anno per anno del montante del fondo pensione (TFR + volontari + datore + rendimenti).</t>
  </si>
  <si>
    <t xml:space="preserve">TFR (6,91%)</t>
  </si>
  <si>
    <t xml:space="preserve">Contrib. volontario</t>
  </si>
  <si>
    <t xml:space="preserve">Contrib. datore</t>
  </si>
  <si>
    <t xml:space="preserve">Rendimento</t>
  </si>
  <si>
    <t xml:space="preserve">Montante fondo finale (lordo)</t>
  </si>
  <si>
    <t xml:space="preserve">Aliquota fondo finale (da Input)</t>
  </si>
  <si>
    <t xml:space="preserve">Tassazione finale (montante × aliquota)</t>
  </si>
  <si>
    <t xml:space="preserve">Prestazione fondo NETTA</t>
  </si>
  <si>
    <t xml:space="preserve">Rendita annua stimata (~5,5% del netto)</t>
  </si>
  <si>
    <t xml:space="preserve">Rendita lorda mensile (13 mensilità)</t>
  </si>
  <si>
    <t xml:space="preserve">Risparmio IRPEF cumulato dalle deduzioni</t>
  </si>
  <si>
    <t xml:space="preserve">NOTE:</t>
  </si>
  <si>
    <t xml:space="preserve">1. Contributo volontario costante in termini reali (in nominale cresce con inflazione).</t>
  </si>
  <si>
    <t xml:space="preserve">2. Rendimento netto comparto è al netto della tassa annua 20% (12,5% titoli Stato).</t>
  </si>
  <si>
    <t xml:space="preserve">3. Aliquota fondo finale: 15% → 9% (riduzione 0,30% per ogni anno partecipazione oltre il 15°).</t>
  </si>
  <si>
    <t xml:space="preserve">4. Tasso conversione rendita 5,5%: vitalizia a 67 anni senza reversibilità.</t>
  </si>
  <si>
    <t xml:space="preserve">5. Risparmio IRPEF in valore nominale (non scontato). Vale 0 se il contributo volontario è 0.</t>
  </si>
  <si>
    <t xml:space="preserve">Confronto scenari: conservativo / base / ottimistico</t>
  </si>
  <si>
    <t xml:space="preserve">Tutto in euro di oggi. Base coincide con i fogli Pubblica e Complementare; Conservativo e Ottimistico ricalcolano pensione INPS e fondo con i parametri della propria colonna.</t>
  </si>
  <si>
    <t xml:space="preserve">Voce</t>
  </si>
  <si>
    <t xml:space="preserve">Conservativo</t>
  </si>
  <si>
    <t xml:space="preserve">Base</t>
  </si>
  <si>
    <t xml:space="preserve">Ottimistico</t>
  </si>
  <si>
    <t xml:space="preserve">Crescita RAL annua reale</t>
  </si>
  <si>
    <t xml:space="preserve">Rivalutazione PIL reale annua</t>
  </si>
  <si>
    <t xml:space="preserve">Inflazione attesa (solo vista nominale, riga 21)</t>
  </si>
  <si>
    <t xml:space="preserve">Pensione INPS lorda annua</t>
  </si>
  <si>
    <t xml:space="preserve">Pensione INPS netta annua (IRPEF del foglio Pubblica)</t>
  </si>
  <si>
    <t xml:space="preserve">Montante fondo finale</t>
  </si>
  <si>
    <t xml:space="preserve">Prestazione fondo netta</t>
  </si>
  <si>
    <t xml:space="preserve">Rendita fondo annua (stima)</t>
  </si>
  <si>
    <t xml:space="preserve">Reddito pensione totale netto annuo</t>
  </si>
  <si>
    <t xml:space="preserve">Spesa target annua (€ di oggi)</t>
  </si>
  <si>
    <t xml:space="preserve">GAP (spesa target - reddito pensione)</t>
  </si>
  <si>
    <t xml:space="preserve">Gap % della spesa target</t>
  </si>
  <si>
    <t xml:space="preserve">GAP in € del pensionamento (inflazione dello scenario)</t>
  </si>
  <si>
    <t xml:space="preserve">INTERPRETAZIONE:</t>
  </si>
  <si>
    <t xml:space="preserve">• GAP &gt; 0: la pensione totale netta NON copre la spesa target → servono strategie</t>
  </si>
  <si>
    <t xml:space="preserve">• GAP &lt; 0: over-saving → margine per consumi extra o lascito</t>
  </si>
  <si>
    <t xml:space="preserve">• Tutto in euro di oggi: RAL e PIL reali, spesa target senza inflazione. Conservativo e ottimistico</t>
  </si>
  <si>
    <t xml:space="preserve">  ricalcolano INPS e fondo con la propria crescita RAL, PIL reale, decadimento e rendimento.</t>
  </si>
  <si>
    <t xml:space="preserve">• Fondo: stesso montante del foglio Complementare con il rendimento della colonna (B9:D9).</t>
  </si>
  <si>
    <t xml:space="preserve">• L'inflazione (riga 7) serve solo alla riga 21, che riporta il gap in € del pensionamento.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</si>
</sst>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€#,##0;&quot;(€&quot;#,##0\);\-"/>
    <numFmt numFmtId="167" formatCode="0.00%;\(0.00%\);\-"/>
    <numFmt numFmtId="168" formatCode="0.000%"/>
    <numFmt numFmtId="169" formatCode="0.000"/>
    <numFmt numFmtId="170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4"/>
  </cols>
  <sheetData>
    <row r="1" customFormat="false" ht="17.2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45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true" outlineLevel="0" collapsed="false">
      <c r="A7" s="5" t="s">
        <v>7</v>
      </c>
      <c r="B7" s="8" t="s">
        <v>8</v>
      </c>
      <c r="C7" s="7" t="s">
        <v>9</v>
      </c>
    </row>
    <row r="9" customFormat="false" ht="15" hidden="false" customHeight="true" outlineLevel="0" collapsed="false">
      <c r="A9" s="4" t="s">
        <v>10</v>
      </c>
      <c r="B9" s="4"/>
      <c r="C9" s="4"/>
    </row>
    <row r="10" customFormat="false" ht="15" hidden="false" customHeight="true" outlineLevel="0" collapsed="false">
      <c r="A10" s="5" t="s">
        <v>11</v>
      </c>
      <c r="B10" s="9" t="n">
        <v>45000</v>
      </c>
      <c r="C10" s="7" t="s">
        <v>12</v>
      </c>
    </row>
    <row r="11" customFormat="false" ht="15" hidden="false" customHeight="true" outlineLevel="0" collapsed="false">
      <c r="A11" s="5" t="s">
        <v>13</v>
      </c>
      <c r="B11" s="6" t="n">
        <v>18</v>
      </c>
      <c r="C11" s="7" t="s">
        <v>4</v>
      </c>
    </row>
    <row r="12" customFormat="false" ht="15" hidden="false" customHeight="true" outlineLevel="0" collapsed="false">
      <c r="A12" s="5" t="s">
        <v>14</v>
      </c>
      <c r="B12" s="10" t="n">
        <v>0.015</v>
      </c>
      <c r="C12" s="7" t="s">
        <v>15</v>
      </c>
    </row>
    <row r="13" customFormat="false" ht="15" hidden="false" customHeight="true" outlineLevel="0" collapsed="false">
      <c r="A13" s="5" t="s">
        <v>16</v>
      </c>
      <c r="B13" s="11" t="n">
        <v>0.33</v>
      </c>
      <c r="C13" s="7" t="s">
        <v>17</v>
      </c>
    </row>
    <row r="14" customFormat="false" ht="15" hidden="false" customHeight="false" outlineLevel="0" collapsed="false">
      <c r="A14" s="5" t="s">
        <v>18</v>
      </c>
      <c r="B14" s="12" t="n">
        <v>0</v>
      </c>
      <c r="C14" s="7" t="s">
        <v>19</v>
      </c>
    </row>
    <row r="15" customFormat="false" ht="15" hidden="false" customHeight="true" outlineLevel="0" collapsed="false">
      <c r="A15" s="4" t="s">
        <v>20</v>
      </c>
      <c r="B15" s="4"/>
      <c r="C15" s="4"/>
    </row>
    <row r="16" customFormat="false" ht="15" hidden="false" customHeight="true" outlineLevel="0" collapsed="false">
      <c r="A16" s="5" t="s">
        <v>21</v>
      </c>
      <c r="B16" s="10" t="n">
        <v>0.005</v>
      </c>
      <c r="C16" s="7" t="s">
        <v>22</v>
      </c>
    </row>
    <row r="17" customFormat="false" ht="15" hidden="false" customHeight="true" outlineLevel="0" collapsed="false">
      <c r="A17" s="5" t="s">
        <v>23</v>
      </c>
      <c r="B17" s="10" t="n">
        <v>0.02</v>
      </c>
      <c r="C17" s="7" t="s">
        <v>24</v>
      </c>
    </row>
    <row r="18" customFormat="false" ht="15" hidden="false" customHeight="true" outlineLevel="0" collapsed="false">
      <c r="A18" s="5" t="s">
        <v>25</v>
      </c>
      <c r="B18" s="13" t="n">
        <v>0.018</v>
      </c>
      <c r="C18" s="7" t="s">
        <v>26</v>
      </c>
    </row>
    <row r="20" customFormat="false" ht="15" hidden="false" customHeight="true" outlineLevel="0" collapsed="false">
      <c r="A20" s="4" t="s">
        <v>27</v>
      </c>
      <c r="B20" s="4"/>
      <c r="C20" s="4"/>
    </row>
    <row r="21" customFormat="false" ht="15" hidden="false" customHeight="true" outlineLevel="0" collapsed="false">
      <c r="A21" s="5" t="s">
        <v>28</v>
      </c>
      <c r="B21" s="6" t="n">
        <v>1</v>
      </c>
      <c r="C21" s="7" t="s">
        <v>29</v>
      </c>
    </row>
    <row r="22" customFormat="false" ht="15" hidden="false" customHeight="true" outlineLevel="0" collapsed="false">
      <c r="A22" s="5" t="s">
        <v>30</v>
      </c>
      <c r="B22" s="9" t="n">
        <v>8000</v>
      </c>
      <c r="C22" s="7" t="s">
        <v>31</v>
      </c>
    </row>
    <row r="24" customFormat="false" ht="15" hidden="false" customHeight="true" outlineLevel="0" collapsed="false">
      <c r="A24" s="4" t="s">
        <v>32</v>
      </c>
      <c r="B24" s="4"/>
      <c r="C24" s="4"/>
    </row>
    <row r="25" customFormat="false" ht="15" hidden="false" customHeight="true" outlineLevel="0" collapsed="false">
      <c r="A25" s="5" t="s">
        <v>33</v>
      </c>
      <c r="B25" s="9" t="n">
        <v>5000</v>
      </c>
      <c r="C25" s="7" t="s">
        <v>34</v>
      </c>
    </row>
    <row r="26" customFormat="false" ht="15" hidden="false" customHeight="true" outlineLevel="0" collapsed="false">
      <c r="A26" s="5" t="s">
        <v>35</v>
      </c>
      <c r="B26" s="9" t="n">
        <v>2000</v>
      </c>
      <c r="C26" s="7" t="s">
        <v>36</v>
      </c>
    </row>
    <row r="27" customFormat="false" ht="15" hidden="false" customHeight="true" outlineLevel="0" collapsed="false">
      <c r="A27" s="5" t="s">
        <v>37</v>
      </c>
      <c r="B27" s="10" t="n">
        <v>0.015</v>
      </c>
      <c r="C27" s="7" t="s">
        <v>38</v>
      </c>
    </row>
    <row r="28" customFormat="false" ht="15" hidden="false" customHeight="true" outlineLevel="0" collapsed="false">
      <c r="A28" s="5" t="s">
        <v>39</v>
      </c>
      <c r="B28" s="10" t="n">
        <v>0.035</v>
      </c>
      <c r="C28" s="7" t="s">
        <v>40</v>
      </c>
    </row>
    <row r="29" customFormat="false" ht="15" hidden="false" customHeight="true" outlineLevel="0" collapsed="false">
      <c r="A29" s="5" t="s">
        <v>41</v>
      </c>
      <c r="B29" s="6" t="n">
        <v>5</v>
      </c>
      <c r="C29" s="7" t="s">
        <v>42</v>
      </c>
    </row>
    <row r="31" customFormat="false" ht="15" hidden="false" customHeight="true" outlineLevel="0" collapsed="false">
      <c r="A31" s="4" t="s">
        <v>43</v>
      </c>
      <c r="B31" s="4"/>
      <c r="C31" s="4"/>
    </row>
    <row r="32" customFormat="false" ht="15" hidden="false" customHeight="true" outlineLevel="0" collapsed="false">
      <c r="A32" s="5" t="s">
        <v>44</v>
      </c>
      <c r="B32" s="9" t="n">
        <v>2500</v>
      </c>
      <c r="C32" s="7" t="s">
        <v>45</v>
      </c>
    </row>
    <row r="33" customFormat="false" ht="15" hidden="false" customHeight="true" outlineLevel="0" collapsed="false">
      <c r="A33" s="5" t="s">
        <v>46</v>
      </c>
      <c r="B33" s="10" t="n">
        <v>0.78</v>
      </c>
      <c r="C33" s="7" t="s">
        <v>47</v>
      </c>
    </row>
    <row r="35" customFormat="false" ht="15" hidden="false" customHeight="true" outlineLevel="0" collapsed="false">
      <c r="A35" s="4" t="s">
        <v>48</v>
      </c>
      <c r="B35" s="4"/>
      <c r="C35" s="4"/>
    </row>
    <row r="36" customFormat="false" ht="15" hidden="false" customHeight="true" outlineLevel="0" collapsed="false">
      <c r="A36" s="5" t="s">
        <v>49</v>
      </c>
      <c r="B36" s="14" t="n">
        <f aca="false">Input!$B$6-Input!$B$5</f>
        <v>22</v>
      </c>
      <c r="C36" s="7" t="s">
        <v>50</v>
      </c>
    </row>
    <row r="37" customFormat="false" ht="15" hidden="false" customHeight="true" outlineLevel="0" collapsed="false">
      <c r="A37" s="5" t="s">
        <v>51</v>
      </c>
      <c r="B37" s="11" t="n">
        <f aca="false">IF(Input!$B$10&lt;=28000, 0.23, IF(Input!$B$10&lt;=50000, 0.33, 0.43))</f>
        <v>0.33</v>
      </c>
      <c r="C37" s="7" t="s">
        <v>52</v>
      </c>
    </row>
    <row r="38" customFormat="false" ht="15" hidden="false" customHeight="true" outlineLevel="0" collapsed="false">
      <c r="A38" s="5" t="s">
        <v>53</v>
      </c>
      <c r="B38" s="11" t="n">
        <f aca="false">MAX(0.09, 0.15 - 0.003 * MAX(0, (Input!$B$29+Input!$B$36) - 15))</f>
        <v>0.114</v>
      </c>
      <c r="C38" s="7" t="s">
        <v>54</v>
      </c>
    </row>
    <row r="39" customFormat="false" ht="15" hidden="false" customHeight="true" outlineLevel="0" collapsed="false">
      <c r="A39" s="5" t="s">
        <v>55</v>
      </c>
      <c r="B39" s="15" t="n">
        <f aca="false">Input!$B$32*12*Input!$B$33</f>
        <v>23400</v>
      </c>
      <c r="C39" s="7" t="s">
        <v>56</v>
      </c>
    </row>
    <row r="40" customFormat="false" ht="15" hidden="false" customHeight="true" outlineLevel="0" collapsed="false">
      <c r="A40" s="5" t="s">
        <v>57</v>
      </c>
      <c r="B40" s="16" t="n">
        <f aca="false">VLOOKUP(Input!$B$6, Coefficienti!A5:C19, 3, FALSE())*(1-Input!$B$18)^(Input!$B$36/2)</f>
        <v>0.0459234355786974</v>
      </c>
      <c r="C40" s="7" t="s">
        <v>58</v>
      </c>
    </row>
    <row r="42" customFormat="false" ht="15" hidden="false" customHeight="true" outlineLevel="0" collapsed="false">
      <c r="A42" s="4" t="s">
        <v>59</v>
      </c>
      <c r="B42" s="4"/>
      <c r="C42" s="4"/>
    </row>
    <row r="43" customFormat="false" ht="15" hidden="false" customHeight="true" outlineLevel="0" collapsed="false">
      <c r="A43" s="5" t="s">
        <v>60</v>
      </c>
      <c r="B43" s="9" t="n">
        <v>122295</v>
      </c>
      <c r="C43" s="7" t="s">
        <v>61</v>
      </c>
    </row>
  </sheetData>
  <mergeCells count="10">
    <mergeCell ref="A1:C1"/>
    <mergeCell ref="A2:C2"/>
    <mergeCell ref="A4:C4"/>
    <mergeCell ref="A9:C9"/>
    <mergeCell ref="A15:C15"/>
    <mergeCell ref="A20:C20"/>
    <mergeCell ref="A24:C24"/>
    <mergeCell ref="A31:C31"/>
    <mergeCell ref="A35:C35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4"/>
  </cols>
  <sheetData>
    <row r="1" customFormat="false" ht="17.25" hidden="false" customHeight="true" outlineLevel="0" collapsed="false">
      <c r="A1" s="2" t="s">
        <v>62</v>
      </c>
      <c r="B1" s="2"/>
      <c r="C1" s="2"/>
    </row>
    <row r="2" customFormat="false" ht="15" hidden="false" customHeight="true" outlineLevel="0" collapsed="false">
      <c r="A2" s="3" t="s">
        <v>63</v>
      </c>
      <c r="B2" s="3"/>
      <c r="C2" s="3"/>
    </row>
    <row r="4" customFormat="false" ht="15" hidden="false" customHeight="true" outlineLevel="0" collapsed="false">
      <c r="A4" s="17" t="s">
        <v>64</v>
      </c>
      <c r="B4" s="17" t="s">
        <v>65</v>
      </c>
      <c r="C4" s="17" t="s">
        <v>66</v>
      </c>
    </row>
    <row r="5" customFormat="false" ht="15" hidden="false" customHeight="true" outlineLevel="0" collapsed="false">
      <c r="A5" s="18" t="n">
        <v>57</v>
      </c>
      <c r="B5" s="19" t="n">
        <v>23.789</v>
      </c>
      <c r="C5" s="20" t="n">
        <v>0.04204</v>
      </c>
    </row>
    <row r="6" customFormat="false" ht="15" hidden="false" customHeight="true" outlineLevel="0" collapsed="false">
      <c r="A6" s="18" t="n">
        <v>58</v>
      </c>
      <c r="B6" s="19" t="n">
        <v>23.213</v>
      </c>
      <c r="C6" s="20" t="n">
        <v>0.04308</v>
      </c>
    </row>
    <row r="7" customFormat="false" ht="15" hidden="false" customHeight="true" outlineLevel="0" collapsed="false">
      <c r="A7" s="18" t="n">
        <v>59</v>
      </c>
      <c r="B7" s="19" t="n">
        <v>22.631</v>
      </c>
      <c r="C7" s="20" t="n">
        <v>0.04419</v>
      </c>
    </row>
    <row r="8" customFormat="false" ht="15" hidden="false" customHeight="true" outlineLevel="0" collapsed="false">
      <c r="A8" s="18" t="n">
        <v>60</v>
      </c>
      <c r="B8" s="19" t="n">
        <v>22.044</v>
      </c>
      <c r="C8" s="20" t="n">
        <v>0.04536</v>
      </c>
    </row>
    <row r="9" customFormat="false" ht="15" hidden="false" customHeight="true" outlineLevel="0" collapsed="false">
      <c r="A9" s="18" t="n">
        <v>61</v>
      </c>
      <c r="B9" s="19" t="n">
        <v>21.453</v>
      </c>
      <c r="C9" s="20" t="n">
        <v>0.04661</v>
      </c>
    </row>
    <row r="10" customFormat="false" ht="15" hidden="false" customHeight="true" outlineLevel="0" collapsed="false">
      <c r="A10" s="18" t="n">
        <v>62</v>
      </c>
      <c r="B10" s="19" t="n">
        <v>20.857</v>
      </c>
      <c r="C10" s="20" t="n">
        <v>0.04795</v>
      </c>
    </row>
    <row r="11" customFormat="false" ht="15" hidden="false" customHeight="true" outlineLevel="0" collapsed="false">
      <c r="A11" s="18" t="n">
        <v>63</v>
      </c>
      <c r="B11" s="19" t="n">
        <v>20.258</v>
      </c>
      <c r="C11" s="20" t="n">
        <v>0.04936</v>
      </c>
    </row>
    <row r="12" customFormat="false" ht="15" hidden="false" customHeight="true" outlineLevel="0" collapsed="false">
      <c r="A12" s="18" t="n">
        <v>64</v>
      </c>
      <c r="B12" s="19" t="n">
        <v>19.656</v>
      </c>
      <c r="C12" s="20" t="n">
        <v>0.05088</v>
      </c>
    </row>
    <row r="13" customFormat="false" ht="15" hidden="false" customHeight="true" outlineLevel="0" collapsed="false">
      <c r="A13" s="18" t="n">
        <v>65</v>
      </c>
      <c r="B13" s="19" t="n">
        <v>19.049</v>
      </c>
      <c r="C13" s="20" t="n">
        <v>0.0525</v>
      </c>
    </row>
    <row r="14" customFormat="false" ht="15" hidden="false" customHeight="true" outlineLevel="0" collapsed="false">
      <c r="A14" s="18" t="n">
        <v>66</v>
      </c>
      <c r="B14" s="19" t="n">
        <v>18.441</v>
      </c>
      <c r="C14" s="20" t="n">
        <v>0.05423</v>
      </c>
    </row>
    <row r="15" customFormat="false" ht="15" hidden="false" customHeight="true" outlineLevel="0" collapsed="false">
      <c r="A15" s="18" t="n">
        <v>67</v>
      </c>
      <c r="B15" s="19" t="n">
        <v>17.831</v>
      </c>
      <c r="C15" s="20" t="n">
        <v>0.05608</v>
      </c>
    </row>
    <row r="16" customFormat="false" ht="15" hidden="false" customHeight="true" outlineLevel="0" collapsed="false">
      <c r="A16" s="18" t="n">
        <v>68</v>
      </c>
      <c r="B16" s="19" t="n">
        <v>17.218</v>
      </c>
      <c r="C16" s="20" t="n">
        <v>0.05808</v>
      </c>
    </row>
    <row r="17" customFormat="false" ht="15" hidden="false" customHeight="true" outlineLevel="0" collapsed="false">
      <c r="A17" s="18" t="n">
        <v>69</v>
      </c>
      <c r="B17" s="19" t="n">
        <v>16.6</v>
      </c>
      <c r="C17" s="20" t="n">
        <v>0.06024</v>
      </c>
    </row>
    <row r="18" customFormat="false" ht="15" hidden="false" customHeight="true" outlineLevel="0" collapsed="false">
      <c r="A18" s="18" t="n">
        <v>70</v>
      </c>
      <c r="B18" s="19" t="n">
        <v>15.98</v>
      </c>
      <c r="C18" s="20" t="n">
        <v>0.06258</v>
      </c>
    </row>
    <row r="19" customFormat="false" ht="15" hidden="false" customHeight="true" outlineLevel="0" collapsed="false">
      <c r="A19" s="18" t="n">
        <v>71</v>
      </c>
      <c r="B19" s="19" t="n">
        <v>15.36</v>
      </c>
      <c r="C19" s="20" t="n">
        <v>0.0651</v>
      </c>
    </row>
    <row r="22" customFormat="false" ht="15" hidden="false" customHeight="true" outlineLevel="0" collapsed="false">
      <c r="A22" s="21" t="s">
        <v>67</v>
      </c>
    </row>
    <row r="23" customFormat="false" ht="15" hidden="false" customHeight="true" outlineLevel="0" collapsed="false">
      <c r="A23" s="22" t="s">
        <v>68</v>
      </c>
      <c r="B23" s="22"/>
      <c r="C23" s="22"/>
      <c r="D23" s="22"/>
    </row>
    <row r="24" customFormat="false" ht="15" hidden="false" customHeight="true" outlineLevel="0" collapsed="false">
      <c r="A24" s="22" t="s">
        <v>69</v>
      </c>
      <c r="B24" s="22"/>
      <c r="C24" s="22"/>
      <c r="D24" s="22"/>
    </row>
    <row r="25" customFormat="false" ht="15" hidden="false" customHeight="true" outlineLevel="0" collapsed="false">
      <c r="A25" s="22" t="s">
        <v>70</v>
      </c>
      <c r="B25" s="22"/>
      <c r="C25" s="22"/>
      <c r="D25" s="22"/>
    </row>
    <row r="26" customFormat="false" ht="15" hidden="false" customHeight="true" outlineLevel="0" collapsed="false">
      <c r="A26" s="22" t="s">
        <v>71</v>
      </c>
      <c r="B26" s="22"/>
      <c r="C26" s="22"/>
      <c r="D26" s="22"/>
    </row>
    <row r="27" customFormat="false" ht="15" hidden="false" customHeight="true" outlineLevel="0" collapsed="false">
      <c r="A27" s="22" t="s">
        <v>72</v>
      </c>
      <c r="B27" s="22"/>
      <c r="C27" s="22"/>
      <c r="D27" s="22"/>
    </row>
    <row r="28" customFormat="false" ht="15" hidden="false" customHeight="true" outlineLevel="0" collapsed="false">
      <c r="A28" s="22" t="s">
        <v>73</v>
      </c>
      <c r="B28" s="22"/>
      <c r="C28" s="22"/>
      <c r="D28" s="22"/>
    </row>
    <row r="29" customFormat="false" ht="15" hidden="false" customHeight="true" outlineLevel="0" collapsed="false">
      <c r="A29" s="22" t="s">
        <v>74</v>
      </c>
      <c r="B29" s="22"/>
      <c r="C29" s="22"/>
      <c r="D29" s="22"/>
    </row>
  </sheetData>
  <mergeCells count="9">
    <mergeCell ref="A1:C1"/>
    <mergeCell ref="A2:C2"/>
    <mergeCell ref="A23:D23"/>
    <mergeCell ref="A24:D24"/>
    <mergeCell ref="A25:D25"/>
    <mergeCell ref="A26:D26"/>
    <mergeCell ref="A27:D27"/>
    <mergeCell ref="A28:D28"/>
    <mergeCell ref="A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  <col collapsed="false" customWidth="true" hidden="false" outlineLevel="0" max="7" min="3" style="1" width="16"/>
  </cols>
  <sheetData>
    <row r="1" customFormat="false" ht="17.25" hidden="false" customHeight="true" outlineLevel="0" collapsed="false">
      <c r="A1" s="2" t="s">
        <v>75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76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17" t="s">
        <v>77</v>
      </c>
      <c r="B4" s="17" t="s">
        <v>64</v>
      </c>
      <c r="C4" s="17" t="s">
        <v>78</v>
      </c>
      <c r="D4" s="17" t="s">
        <v>79</v>
      </c>
      <c r="E4" s="17" t="s">
        <v>80</v>
      </c>
      <c r="F4" s="17" t="s">
        <v>81</v>
      </c>
      <c r="G4" s="17" t="s">
        <v>82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MIN(C5,Input!$B$43)*Input!$B$13</f>
        <v>14850</v>
      </c>
      <c r="E5" s="26" t="n">
        <f aca="false">IF(Input!$B$14&gt;0,Input!$B$14,MIN(Input!$B$10,Input!$B$43)*Input!$B$13*(IF(ABS(((1+Input!$B$16)/(1+Input!$B$12))-1)&lt;0.0000001,Input!$B$11,((1+Input!$B$16)/(1+Input!$B$12))*(((1+Input!$B$16)/(1+Input!$B$12))^Input!$B$11-1)/(((1+Input!$B$16)/(1+Input!$B$12))-1))))</f>
        <v>243625.067612767</v>
      </c>
      <c r="F5" s="25" t="n">
        <f aca="false">E5*Input!$B$16</f>
        <v>1218.12533806384</v>
      </c>
      <c r="G5" s="25" t="n">
        <f aca="false">IF(B5&lt;Input!$B$6, E5+D5+F5, E5)</f>
        <v>259693.192950831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MIN(C6,Input!$B$43)*Input!$B$13</f>
        <v>15072.75</v>
      </c>
      <c r="E6" s="25" t="n">
        <f aca="false">G5</f>
        <v>259693.192950831</v>
      </c>
      <c r="F6" s="25" t="n">
        <f aca="false">E6*Input!$B$16</f>
        <v>1298.46596475416</v>
      </c>
      <c r="G6" s="25" t="n">
        <f aca="false">IF(B6&lt;Input!$B$6, E6+D6+F6, E6)</f>
        <v>276064.408915585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MIN(C7,Input!$B$43)*Input!$B$13</f>
        <v>15298.84125</v>
      </c>
      <c r="E7" s="25" t="n">
        <f aca="false">G6</f>
        <v>276064.408915585</v>
      </c>
      <c r="F7" s="25" t="n">
        <f aca="false">E7*Input!$B$16</f>
        <v>1380.32204457793</v>
      </c>
      <c r="G7" s="25" t="n">
        <f aca="false">IF(B7&lt;Input!$B$6, E7+D7+F7, E7)</f>
        <v>292743.572210163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MIN(C8,Input!$B$43)*Input!$B$13</f>
        <v>15528.32386875</v>
      </c>
      <c r="E8" s="25" t="n">
        <f aca="false">G7</f>
        <v>292743.572210163</v>
      </c>
      <c r="F8" s="25" t="n">
        <f aca="false">E8*Input!$B$16</f>
        <v>1463.71786105082</v>
      </c>
      <c r="G8" s="25" t="n">
        <f aca="false">IF(B8&lt;Input!$B$6, E8+D8+F8, E8)</f>
        <v>309735.613939964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MIN(C9,Input!$B$43)*Input!$B$13</f>
        <v>15761.2487267812</v>
      </c>
      <c r="E9" s="25" t="n">
        <f aca="false">G8</f>
        <v>309735.613939964</v>
      </c>
      <c r="F9" s="25" t="n">
        <f aca="false">E9*Input!$B$16</f>
        <v>1548.67806969982</v>
      </c>
      <c r="G9" s="25" t="n">
        <f aca="false">IF(B9&lt;Input!$B$6, E9+D9+F9, E9)</f>
        <v>327045.540736445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MIN(C10,Input!$B$43)*Input!$B$13</f>
        <v>15997.667457683</v>
      </c>
      <c r="E10" s="25" t="n">
        <f aca="false">G9</f>
        <v>327045.540736445</v>
      </c>
      <c r="F10" s="25" t="n">
        <f aca="false">E10*Input!$B$16</f>
        <v>1635.22770368223</v>
      </c>
      <c r="G10" s="25" t="n">
        <f aca="false">IF(B10&lt;Input!$B$6, E10+D10+F10, E10)</f>
        <v>344678.43589781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MIN(C11,Input!$B$43)*Input!$B$13</f>
        <v>16237.6324695482</v>
      </c>
      <c r="E11" s="25" t="n">
        <f aca="false">G10</f>
        <v>344678.43589781</v>
      </c>
      <c r="F11" s="25" t="n">
        <f aca="false">E11*Input!$B$16</f>
        <v>1723.39217948905</v>
      </c>
      <c r="G11" s="25" t="n">
        <f aca="false">IF(B11&lt;Input!$B$6, E11+D11+F11, E11)</f>
        <v>362639.460546847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MIN(C12,Input!$B$43)*Input!$B$13</f>
        <v>16481.1969565914</v>
      </c>
      <c r="E12" s="25" t="n">
        <f aca="false">G11</f>
        <v>362639.460546847</v>
      </c>
      <c r="F12" s="25" t="n">
        <f aca="false">E12*Input!$B$16</f>
        <v>1813.19730273424</v>
      </c>
      <c r="G12" s="25" t="n">
        <f aca="false">IF(B12&lt;Input!$B$6, E12+D12+F12, E12)</f>
        <v>380933.854806173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MIN(C13,Input!$B$43)*Input!$B$13</f>
        <v>16728.4149109403</v>
      </c>
      <c r="E13" s="25" t="n">
        <f aca="false">G12</f>
        <v>380933.854806173</v>
      </c>
      <c r="F13" s="25" t="n">
        <f aca="false">E13*Input!$B$16</f>
        <v>1904.66927403087</v>
      </c>
      <c r="G13" s="25" t="n">
        <f aca="false">IF(B13&lt;Input!$B$6, E13+D13+F13, E13)</f>
        <v>399566.938991144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MIN(C14,Input!$B$43)*Input!$B$13</f>
        <v>16979.3411346044</v>
      </c>
      <c r="E14" s="25" t="n">
        <f aca="false">G13</f>
        <v>399566.938991144</v>
      </c>
      <c r="F14" s="25" t="n">
        <f aca="false">E14*Input!$B$16</f>
        <v>1997.83469495572</v>
      </c>
      <c r="G14" s="25" t="n">
        <f aca="false">IF(B14&lt;Input!$B$6, E14+D14+F14, E14)</f>
        <v>418544.114820704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MIN(C15,Input!$B$43)*Input!$B$13</f>
        <v>17234.0312516235</v>
      </c>
      <c r="E15" s="25" t="n">
        <f aca="false">G14</f>
        <v>418544.114820704</v>
      </c>
      <c r="F15" s="25" t="n">
        <f aca="false">E15*Input!$B$16</f>
        <v>2092.72057410352</v>
      </c>
      <c r="G15" s="25" t="n">
        <f aca="false">IF(B15&lt;Input!$B$6, E15+D15+F15, E15)</f>
        <v>437870.866646431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MIN(C16,Input!$B$43)*Input!$B$13</f>
        <v>17492.5417203978</v>
      </c>
      <c r="E16" s="25" t="n">
        <f aca="false">G15</f>
        <v>437870.866646431</v>
      </c>
      <c r="F16" s="25" t="n">
        <f aca="false">E16*Input!$B$16</f>
        <v>2189.35433323216</v>
      </c>
      <c r="G16" s="25" t="n">
        <f aca="false">IF(B16&lt;Input!$B$6, E16+D16+F16, E16)</f>
        <v>457552.762700061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MIN(C17,Input!$B$43)*Input!$B$13</f>
        <v>17754.9298462038</v>
      </c>
      <c r="E17" s="25" t="n">
        <f aca="false">G16</f>
        <v>457552.762700061</v>
      </c>
      <c r="F17" s="25" t="n">
        <f aca="false">E17*Input!$B$16</f>
        <v>2287.76381350031</v>
      </c>
      <c r="G17" s="25" t="n">
        <f aca="false">IF(B17&lt;Input!$B$6, E17+D17+F17, E17)</f>
        <v>477595.456359766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MIN(C18,Input!$B$43)*Input!$B$13</f>
        <v>18021.2537938968</v>
      </c>
      <c r="E18" s="25" t="n">
        <f aca="false">G17</f>
        <v>477595.456359766</v>
      </c>
      <c r="F18" s="25" t="n">
        <f aca="false">E18*Input!$B$16</f>
        <v>2387.97728179883</v>
      </c>
      <c r="G18" s="25" t="n">
        <f aca="false">IF(B18&lt;Input!$B$6, E18+D18+F18, E18)</f>
        <v>498004.687435461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MIN(C19,Input!$B$43)*Input!$B$13</f>
        <v>18291.5726008053</v>
      </c>
      <c r="E19" s="25" t="n">
        <f aca="false">G18</f>
        <v>498004.687435461</v>
      </c>
      <c r="F19" s="25" t="n">
        <f aca="false">E19*Input!$B$16</f>
        <v>2490.02343717731</v>
      </c>
      <c r="G19" s="25" t="n">
        <f aca="false">IF(B19&lt;Input!$B$6, E19+D19+F19, E19)</f>
        <v>518786.283473444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MIN(C20,Input!$B$43)*Input!$B$13</f>
        <v>18565.9461898174</v>
      </c>
      <c r="E20" s="25" t="n">
        <f aca="false">G19</f>
        <v>518786.283473444</v>
      </c>
      <c r="F20" s="25" t="n">
        <f aca="false">E20*Input!$B$16</f>
        <v>2593.93141736722</v>
      </c>
      <c r="G20" s="25" t="n">
        <f aca="false">IF(B20&lt;Input!$B$6, E20+D20+F20, E20)</f>
        <v>539946.161080628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MIN(C21,Input!$B$43)*Input!$B$13</f>
        <v>18844.4353826646</v>
      </c>
      <c r="E21" s="25" t="n">
        <f aca="false">G20</f>
        <v>539946.161080628</v>
      </c>
      <c r="F21" s="25" t="n">
        <f aca="false">E21*Input!$B$16</f>
        <v>2699.73080540314</v>
      </c>
      <c r="G21" s="25" t="n">
        <f aca="false">IF(B21&lt;Input!$B$6, E21+D21+F21, E21)</f>
        <v>561490.327268696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MIN(C22,Input!$B$43)*Input!$B$13</f>
        <v>19127.1019134046</v>
      </c>
      <c r="E22" s="25" t="n">
        <f aca="false">G21</f>
        <v>561490.327268696</v>
      </c>
      <c r="F22" s="25" t="n">
        <f aca="false">E22*Input!$B$16</f>
        <v>2807.45163634348</v>
      </c>
      <c r="G22" s="25" t="n">
        <f aca="false">IF(B22&lt;Input!$B$6, E22+D22+F22, E22)</f>
        <v>583424.880818444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MIN(C23,Input!$B$43)*Input!$B$13</f>
        <v>19414.0084421057</v>
      </c>
      <c r="E23" s="25" t="n">
        <f aca="false">G22</f>
        <v>583424.880818444</v>
      </c>
      <c r="F23" s="25" t="n">
        <f aca="false">E23*Input!$B$16</f>
        <v>2917.12440409222</v>
      </c>
      <c r="G23" s="25" t="n">
        <f aca="false">IF(B23&lt;Input!$B$6, E23+D23+F23, E23)</f>
        <v>605756.013664642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MIN(C24,Input!$B$43)*Input!$B$13</f>
        <v>19705.2185687372</v>
      </c>
      <c r="E24" s="25" t="n">
        <f aca="false">G23</f>
        <v>605756.013664642</v>
      </c>
      <c r="F24" s="25" t="n">
        <f aca="false">E24*Input!$B$16</f>
        <v>3028.78006832321</v>
      </c>
      <c r="G24" s="25" t="n">
        <f aca="false">IF(B24&lt;Input!$B$6, E24+D24+F24, E24)</f>
        <v>628490.012301702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MIN(C25,Input!$B$43)*Input!$B$13</f>
        <v>20000.7968472683</v>
      </c>
      <c r="E25" s="25" t="n">
        <f aca="false">G24</f>
        <v>628490.012301702</v>
      </c>
      <c r="F25" s="25" t="n">
        <f aca="false">E25*Input!$B$16</f>
        <v>3142.45006150851</v>
      </c>
      <c r="G25" s="25" t="n">
        <f aca="false">IF(B25&lt;Input!$B$6, E25+D25+F25, E25)</f>
        <v>651633.259210479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MIN(C26,Input!$B$43)*Input!$B$13</f>
        <v>20300.8087999773</v>
      </c>
      <c r="E26" s="25" t="n">
        <f aca="false">G25</f>
        <v>651633.259210479</v>
      </c>
      <c r="F26" s="25" t="n">
        <f aca="false">E26*Input!$B$16</f>
        <v>3258.1662960524</v>
      </c>
      <c r="G26" s="25" t="n">
        <f aca="false">IF(B26&lt;Input!$B$6, E26+D26+F26, E26)</f>
        <v>675192.234306509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MIN(C27,Input!$B$43)*Input!$B$13</f>
        <v>0</v>
      </c>
      <c r="E27" s="25" t="n">
        <f aca="false">G26</f>
        <v>675192.234306509</v>
      </c>
      <c r="F27" s="25" t="n">
        <f aca="false">E27*Input!$B$16</f>
        <v>3375.96117153254</v>
      </c>
      <c r="G27" s="25" t="n">
        <f aca="false">IF(B27&lt;Input!$B$6, E27+D27+F27, E27)</f>
        <v>675192.234306509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MIN(C28,Input!$B$43)*Input!$B$13</f>
        <v>0</v>
      </c>
      <c r="E28" s="25" t="n">
        <f aca="false">G27</f>
        <v>675192.234306509</v>
      </c>
      <c r="F28" s="25" t="n">
        <f aca="false">E28*Input!$B$16</f>
        <v>3375.96117153254</v>
      </c>
      <c r="G28" s="25" t="n">
        <f aca="false">IF(B28&lt;Input!$B$6, E28+D28+F28, E28)</f>
        <v>675192.234306509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MIN(C29,Input!$B$43)*Input!$B$13</f>
        <v>0</v>
      </c>
      <c r="E29" s="25" t="n">
        <f aca="false">G28</f>
        <v>675192.234306509</v>
      </c>
      <c r="F29" s="25" t="n">
        <f aca="false">E29*Input!$B$16</f>
        <v>3375.96117153254</v>
      </c>
      <c r="G29" s="25" t="n">
        <f aca="false">IF(B29&lt;Input!$B$6, E29+D29+F29, E29)</f>
        <v>675192.234306509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MIN(C30,Input!$B$43)*Input!$B$13</f>
        <v>0</v>
      </c>
      <c r="E30" s="25" t="n">
        <f aca="false">G29</f>
        <v>675192.234306509</v>
      </c>
      <c r="F30" s="25" t="n">
        <f aca="false">E30*Input!$B$16</f>
        <v>3375.96117153254</v>
      </c>
      <c r="G30" s="25" t="n">
        <f aca="false">IF(B30&lt;Input!$B$6, E30+D30+F30, E30)</f>
        <v>675192.234306509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MIN(C31,Input!$B$43)*Input!$B$13</f>
        <v>0</v>
      </c>
      <c r="E31" s="25" t="n">
        <f aca="false">G30</f>
        <v>675192.234306509</v>
      </c>
      <c r="F31" s="25" t="n">
        <f aca="false">E31*Input!$B$16</f>
        <v>3375.96117153254</v>
      </c>
      <c r="G31" s="25" t="n">
        <f aca="false">IF(B31&lt;Input!$B$6, E31+D31+F31, E31)</f>
        <v>675192.234306509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MIN(C32,Input!$B$43)*Input!$B$13</f>
        <v>0</v>
      </c>
      <c r="E32" s="25" t="n">
        <f aca="false">G31</f>
        <v>675192.234306509</v>
      </c>
      <c r="F32" s="25" t="n">
        <f aca="false">E32*Input!$B$16</f>
        <v>3375.96117153254</v>
      </c>
      <c r="G32" s="25" t="n">
        <f aca="false">IF(B32&lt;Input!$B$6, E32+D32+F32, E32)</f>
        <v>675192.234306509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MIN(C33,Input!$B$43)*Input!$B$13</f>
        <v>0</v>
      </c>
      <c r="E33" s="25" t="n">
        <f aca="false">G32</f>
        <v>675192.234306509</v>
      </c>
      <c r="F33" s="25" t="n">
        <f aca="false">E33*Input!$B$16</f>
        <v>3375.96117153254</v>
      </c>
      <c r="G33" s="25" t="n">
        <f aca="false">IF(B33&lt;Input!$B$6, E33+D33+F33, E33)</f>
        <v>675192.234306509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MIN(C34,Input!$B$43)*Input!$B$13</f>
        <v>0</v>
      </c>
      <c r="E34" s="25" t="n">
        <f aca="false">G33</f>
        <v>675192.234306509</v>
      </c>
      <c r="F34" s="25" t="n">
        <f aca="false">E34*Input!$B$16</f>
        <v>3375.96117153254</v>
      </c>
      <c r="G34" s="25" t="n">
        <f aca="false">IF(B34&lt;Input!$B$6, E34+D34+F34, E34)</f>
        <v>675192.234306509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MIN(C35,Input!$B$43)*Input!$B$13</f>
        <v>0</v>
      </c>
      <c r="E35" s="25" t="n">
        <f aca="false">G34</f>
        <v>675192.234306509</v>
      </c>
      <c r="F35" s="25" t="n">
        <f aca="false">E35*Input!$B$16</f>
        <v>3375.96117153254</v>
      </c>
      <c r="G35" s="25" t="n">
        <f aca="false">IF(B35&lt;Input!$B$6, E35+D35+F35, E35)</f>
        <v>675192.234306509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MIN(C36,Input!$B$43)*Input!$B$13</f>
        <v>0</v>
      </c>
      <c r="E36" s="25" t="n">
        <f aca="false">G35</f>
        <v>675192.234306509</v>
      </c>
      <c r="F36" s="25" t="n">
        <f aca="false">E36*Input!$B$16</f>
        <v>3375.96117153254</v>
      </c>
      <c r="G36" s="25" t="n">
        <f aca="false">IF(B36&lt;Input!$B$6, E36+D36+F36, E36)</f>
        <v>675192.234306509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MIN(C37,Input!$B$43)*Input!$B$13</f>
        <v>0</v>
      </c>
      <c r="E37" s="25" t="n">
        <f aca="false">G36</f>
        <v>675192.234306509</v>
      </c>
      <c r="F37" s="25" t="n">
        <f aca="false">E37*Input!$B$16</f>
        <v>3375.96117153254</v>
      </c>
      <c r="G37" s="25" t="n">
        <f aca="false">IF(B37&lt;Input!$B$6, E37+D37+F37, E37)</f>
        <v>675192.234306509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MIN(C38,Input!$B$43)*Input!$B$13</f>
        <v>0</v>
      </c>
      <c r="E38" s="25" t="n">
        <f aca="false">G37</f>
        <v>675192.234306509</v>
      </c>
      <c r="F38" s="25" t="n">
        <f aca="false">E38*Input!$B$16</f>
        <v>3375.96117153254</v>
      </c>
      <c r="G38" s="25" t="n">
        <f aca="false">IF(B38&lt;Input!$B$6, E38+D38+F38, E38)</f>
        <v>675192.234306509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MIN(C39,Input!$B$43)*Input!$B$13</f>
        <v>0</v>
      </c>
      <c r="E39" s="25" t="n">
        <f aca="false">G38</f>
        <v>675192.234306509</v>
      </c>
      <c r="F39" s="25" t="n">
        <f aca="false">E39*Input!$B$16</f>
        <v>3375.96117153254</v>
      </c>
      <c r="G39" s="25" t="n">
        <f aca="false">IF(B39&lt;Input!$B$6, E39+D39+F39, E39)</f>
        <v>675192.234306509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MIN(C40,Input!$B$43)*Input!$B$13</f>
        <v>0</v>
      </c>
      <c r="E40" s="25" t="n">
        <f aca="false">G39</f>
        <v>675192.234306509</v>
      </c>
      <c r="F40" s="25" t="n">
        <f aca="false">E40*Input!$B$16</f>
        <v>3375.96117153254</v>
      </c>
      <c r="G40" s="25" t="n">
        <f aca="false">IF(B40&lt;Input!$B$6, E40+D40+F40, E40)</f>
        <v>675192.234306509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MIN(C41,Input!$B$43)*Input!$B$13</f>
        <v>0</v>
      </c>
      <c r="E41" s="25" t="n">
        <f aca="false">G40</f>
        <v>675192.234306509</v>
      </c>
      <c r="F41" s="25" t="n">
        <f aca="false">E41*Input!$B$16</f>
        <v>3375.96117153254</v>
      </c>
      <c r="G41" s="25" t="n">
        <f aca="false">IF(B41&lt;Input!$B$6, E41+D41+F41, E41)</f>
        <v>675192.234306509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MIN(C42,Input!$B$43)*Input!$B$13</f>
        <v>0</v>
      </c>
      <c r="E42" s="25" t="n">
        <f aca="false">G41</f>
        <v>675192.234306509</v>
      </c>
      <c r="F42" s="25" t="n">
        <f aca="false">E42*Input!$B$16</f>
        <v>3375.96117153254</v>
      </c>
      <c r="G42" s="25" t="n">
        <f aca="false">IF(B42&lt;Input!$B$6, E42+D42+F42, E42)</f>
        <v>675192.234306509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MIN(C43,Input!$B$43)*Input!$B$13</f>
        <v>0</v>
      </c>
      <c r="E43" s="25" t="n">
        <f aca="false">G42</f>
        <v>675192.234306509</v>
      </c>
      <c r="F43" s="25" t="n">
        <f aca="false">E43*Input!$B$16</f>
        <v>3375.96117153254</v>
      </c>
      <c r="G43" s="25" t="n">
        <f aca="false">IF(B43&lt;Input!$B$6, E43+D43+F43, E43)</f>
        <v>675192.234306509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MIN(C44,Input!$B$43)*Input!$B$13</f>
        <v>0</v>
      </c>
      <c r="E44" s="25" t="n">
        <f aca="false">G43</f>
        <v>675192.234306509</v>
      </c>
      <c r="F44" s="25" t="n">
        <f aca="false">E44*Input!$B$16</f>
        <v>3375.96117153254</v>
      </c>
      <c r="G44" s="25" t="n">
        <f aca="false">IF(B44&lt;Input!$B$6, E44+D44+F44, E44)</f>
        <v>675192.234306509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MIN(C45,Input!$B$43)*Input!$B$13</f>
        <v>0</v>
      </c>
      <c r="E45" s="25" t="n">
        <f aca="false">G44</f>
        <v>675192.234306509</v>
      </c>
      <c r="F45" s="25" t="n">
        <f aca="false">E45*Input!$B$16</f>
        <v>3375.96117153254</v>
      </c>
      <c r="G45" s="25" t="n">
        <f aca="false">IF(B45&lt;Input!$B$6, E45+D45+F45, E45)</f>
        <v>675192.234306509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MIN(C46,Input!$B$43)*Input!$B$13</f>
        <v>0</v>
      </c>
      <c r="E46" s="25" t="n">
        <f aca="false">G45</f>
        <v>675192.234306509</v>
      </c>
      <c r="F46" s="25" t="n">
        <f aca="false">E46*Input!$B$16</f>
        <v>3375.96117153254</v>
      </c>
      <c r="G46" s="25" t="n">
        <f aca="false">IF(B46&lt;Input!$B$6, E46+D46+F46, E46)</f>
        <v>675192.234306509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MIN(C47,Input!$B$43)*Input!$B$13</f>
        <v>0</v>
      </c>
      <c r="E47" s="25" t="n">
        <f aca="false">G46</f>
        <v>675192.234306509</v>
      </c>
      <c r="F47" s="25" t="n">
        <f aca="false">E47*Input!$B$16</f>
        <v>3375.96117153254</v>
      </c>
      <c r="G47" s="25" t="n">
        <f aca="false">IF(B47&lt;Input!$B$6, E47+D47+F47, E47)</f>
        <v>675192.234306509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MIN(C48,Input!$B$43)*Input!$B$13</f>
        <v>0</v>
      </c>
      <c r="E48" s="25" t="n">
        <f aca="false">G47</f>
        <v>675192.234306509</v>
      </c>
      <c r="F48" s="25" t="n">
        <f aca="false">E48*Input!$B$16</f>
        <v>3375.96117153254</v>
      </c>
      <c r="G48" s="25" t="n">
        <f aca="false">IF(B48&lt;Input!$B$6, E48+D48+F48, E48)</f>
        <v>675192.234306509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MIN(C49,Input!$B$43)*Input!$B$13</f>
        <v>0</v>
      </c>
      <c r="E49" s="25" t="n">
        <f aca="false">G48</f>
        <v>675192.234306509</v>
      </c>
      <c r="F49" s="25" t="n">
        <f aca="false">E49*Input!$B$16</f>
        <v>3375.96117153254</v>
      </c>
      <c r="G49" s="25" t="n">
        <f aca="false">IF(B49&lt;Input!$B$6, E49+D49+F49, E49)</f>
        <v>675192.234306509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MIN(C50,Input!$B$43)*Input!$B$13</f>
        <v>0</v>
      </c>
      <c r="E50" s="25" t="n">
        <f aca="false">G49</f>
        <v>675192.234306509</v>
      </c>
      <c r="F50" s="25" t="n">
        <f aca="false">E50*Input!$B$16</f>
        <v>3375.96117153254</v>
      </c>
      <c r="G50" s="25" t="n">
        <f aca="false">IF(B50&lt;Input!$B$6, E50+D50+F50, E50)</f>
        <v>675192.234306509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MIN(C51,Input!$B$43)*Input!$B$13</f>
        <v>0</v>
      </c>
      <c r="E51" s="25" t="n">
        <f aca="false">G50</f>
        <v>675192.234306509</v>
      </c>
      <c r="F51" s="25" t="n">
        <f aca="false">E51*Input!$B$16</f>
        <v>3375.96117153254</v>
      </c>
      <c r="G51" s="25" t="n">
        <f aca="false">IF(B51&lt;Input!$B$6, E51+D51+F51, E51)</f>
        <v>675192.234306509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MIN(C52,Input!$B$43)*Input!$B$13</f>
        <v>0</v>
      </c>
      <c r="E52" s="25" t="n">
        <f aca="false">G51</f>
        <v>675192.234306509</v>
      </c>
      <c r="F52" s="25" t="n">
        <f aca="false">E52*Input!$B$16</f>
        <v>3375.96117153254</v>
      </c>
      <c r="G52" s="25" t="n">
        <f aca="false">IF(B52&lt;Input!$B$6, E52+D52+F52, E52)</f>
        <v>675192.234306509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MIN(C53,Input!$B$43)*Input!$B$13</f>
        <v>0</v>
      </c>
      <c r="E53" s="25" t="n">
        <f aca="false">G52</f>
        <v>675192.234306509</v>
      </c>
      <c r="F53" s="25" t="n">
        <f aca="false">E53*Input!$B$16</f>
        <v>3375.96117153254</v>
      </c>
      <c r="G53" s="25" t="n">
        <f aca="false">IF(B53&lt;Input!$B$6, E53+D53+F53, E53)</f>
        <v>675192.234306509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MIN(C54,Input!$B$43)*Input!$B$13</f>
        <v>0</v>
      </c>
      <c r="E54" s="25" t="n">
        <f aca="false">G53</f>
        <v>675192.234306509</v>
      </c>
      <c r="F54" s="25" t="n">
        <f aca="false">E54*Input!$B$16</f>
        <v>3375.96117153254</v>
      </c>
      <c r="G54" s="25" t="n">
        <f aca="false">IF(B54&lt;Input!$B$6, E54+D54+F54, E54)</f>
        <v>675192.234306509</v>
      </c>
    </row>
    <row r="57" customFormat="false" ht="15" hidden="false" customHeight="true" outlineLevel="0" collapsed="false">
      <c r="A57" s="4" t="s">
        <v>83</v>
      </c>
      <c r="B57" s="4"/>
      <c r="C57" s="4"/>
      <c r="D57" s="4"/>
      <c r="E57" s="4"/>
      <c r="F57" s="4"/>
      <c r="G57" s="4"/>
    </row>
    <row r="58" customFormat="false" ht="15" hidden="false" customHeight="true" outlineLevel="0" collapsed="false">
      <c r="A58" s="5" t="s">
        <v>84</v>
      </c>
      <c r="B58" s="15" t="n">
        <f aca="false">INDEX(G5:G54, MATCH(Input!$B$6-1, B5:B54, 0))</f>
        <v>675192.234306509</v>
      </c>
    </row>
    <row r="59" customFormat="false" ht="15" hidden="false" customHeight="true" outlineLevel="0" collapsed="false">
      <c r="A59" s="5" t="s">
        <v>85</v>
      </c>
      <c r="B59" s="27" t="n">
        <f aca="false">VLOOKUP(Input!$B$6, Coefficienti!A5:C19, 3, FALSE())</f>
        <v>0.05608</v>
      </c>
    </row>
    <row r="60" customFormat="false" ht="15" hidden="false" customHeight="true" outlineLevel="0" collapsed="false">
      <c r="A60" s="5" t="s">
        <v>86</v>
      </c>
      <c r="B60" s="28" t="n">
        <f aca="false">Input!$B$40</f>
        <v>0.0459234355786974</v>
      </c>
    </row>
    <row r="61" customFormat="false" ht="15" hidden="false" customHeight="true" outlineLevel="0" collapsed="false">
      <c r="A61" s="5" t="s">
        <v>87</v>
      </c>
      <c r="B61" s="29" t="n">
        <f aca="false">B58*B60</f>
        <v>31007.1470754117</v>
      </c>
    </row>
    <row r="62" customFormat="false" ht="15" hidden="false" customHeight="true" outlineLevel="0" collapsed="false">
      <c r="A62" s="5" t="s">
        <v>88</v>
      </c>
      <c r="B62" s="15" t="n">
        <f aca="false">B61/13</f>
        <v>2385.16515964705</v>
      </c>
    </row>
    <row r="63" customFormat="false" ht="15" hidden="false" customHeight="true" outlineLevel="0" collapsed="false">
      <c r="A63" s="5" t="s">
        <v>89</v>
      </c>
      <c r="B63" s="15" t="n">
        <f aca="false">IF(B61&lt;=28000, B61*0.23, IF(B61&lt;=50000, 28000*0.23 + (B61-28000)*0.33, 28000*0.23 + 22000*0.33 + (B61-50000)*0.43))</f>
        <v>7432.35853488586</v>
      </c>
    </row>
    <row r="64" customFormat="false" ht="15" hidden="false" customHeight="true" outlineLevel="0" collapsed="false">
      <c r="A64" s="5" t="s">
        <v>90</v>
      </c>
      <c r="B64" s="15" t="n">
        <f aca="false">IF(B61&lt;=8500, 1955, IF(B61&lt;=28000, 700 + 1255*(28000-B61)/19500, IF(B61&lt;=50000, 700*(50000-B61)/22000, 0)))</f>
        <v>604.318047600537</v>
      </c>
    </row>
    <row r="65" customFormat="false" ht="15" hidden="false" customHeight="true" outlineLevel="0" collapsed="false">
      <c r="A65" s="5" t="s">
        <v>91</v>
      </c>
      <c r="B65" s="15" t="n">
        <f aca="false">IF(B63-B64&gt;0,B61*0.02,0)</f>
        <v>620.142941508234</v>
      </c>
    </row>
    <row r="66" customFormat="false" ht="15" hidden="false" customHeight="true" outlineLevel="0" collapsed="false">
      <c r="A66" s="21" t="s">
        <v>92</v>
      </c>
      <c r="B66" s="29" t="n">
        <f aca="false">B61-MAX(0,B63-B64)-B65</f>
        <v>23558.9636466181</v>
      </c>
    </row>
    <row r="67" customFormat="false" ht="15" hidden="false" customHeight="true" outlineLevel="0" collapsed="false">
      <c r="A67" s="21" t="s">
        <v>93</v>
      </c>
      <c r="B67" s="29" t="n">
        <f aca="false">B66/13</f>
        <v>1812.22797281678</v>
      </c>
    </row>
    <row r="68" customFormat="false" ht="15" hidden="false" customHeight="true" outlineLevel="0" collapsed="false">
      <c r="A68" s="5" t="s">
        <v>94</v>
      </c>
      <c r="B68" s="11" t="n">
        <f aca="false">IFERROR(B61/INDEX(C5:C54, MATCH(Input!$B$6-1, B5:B54, 0)), 0)</f>
        <v>0.504036988659156</v>
      </c>
    </row>
    <row r="70" customFormat="false" ht="15" hidden="false" customHeight="true" outlineLevel="0" collapsed="false">
      <c r="A70" s="3" t="s">
        <v>95</v>
      </c>
      <c r="B70" s="3"/>
      <c r="C70" s="3"/>
      <c r="D70" s="3"/>
      <c r="E70" s="3"/>
      <c r="F70" s="3"/>
      <c r="G70" s="3"/>
    </row>
  </sheetData>
  <mergeCells count="4">
    <mergeCell ref="A1:G1"/>
    <mergeCell ref="A2:G2"/>
    <mergeCell ref="A57:G57"/>
    <mergeCell ref="A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4"/>
  </cols>
  <sheetData>
    <row r="1" customFormat="false" ht="17.25" hidden="false" customHeight="true" outlineLevel="0" collapsed="false">
      <c r="A1" s="2" t="s">
        <v>96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97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17" t="s">
        <v>77</v>
      </c>
      <c r="B4" s="17" t="s">
        <v>64</v>
      </c>
      <c r="C4" s="17" t="s">
        <v>78</v>
      </c>
      <c r="D4" s="17" t="s">
        <v>98</v>
      </c>
      <c r="E4" s="17" t="s">
        <v>99</v>
      </c>
      <c r="F4" s="17" t="s">
        <v>100</v>
      </c>
      <c r="G4" s="17" t="s">
        <v>101</v>
      </c>
      <c r="H4" s="17" t="s">
        <v>82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C5*0.0691*Input!$B$21</f>
        <v>3109.5</v>
      </c>
      <c r="E5" s="25" t="n">
        <f aca="false">IF(B5&lt;Input!$B$6, MIN(Input!$B$26, 5300), 0)</f>
        <v>2000</v>
      </c>
      <c r="F5" s="25" t="n">
        <f aca="false">C5*Input!$B$27</f>
        <v>675</v>
      </c>
      <c r="G5" s="25" t="n">
        <f aca="false">(Input!$B$22+Input!$B$25)*Input!$B$28</f>
        <v>455</v>
      </c>
      <c r="H5" s="25" t="n">
        <f aca="false">Input!$B$22+Input!$B$25+D5+E5+F5+G5</f>
        <v>19239.5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C6*0.0691*Input!$B$21</f>
        <v>3156.1425</v>
      </c>
      <c r="E6" s="25" t="n">
        <f aca="false">IF(B6&lt;Input!$B$6, MIN(Input!$B$26, 5300), 0)</f>
        <v>2000</v>
      </c>
      <c r="F6" s="25" t="n">
        <f aca="false">C6*Input!$B$27</f>
        <v>685.125</v>
      </c>
      <c r="G6" s="25" t="n">
        <f aca="false">H5*Input!$B$28</f>
        <v>673.3825</v>
      </c>
      <c r="H6" s="25" t="n">
        <f aca="false">H5+D6+E6+F6+G6</f>
        <v>25754.15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C7*0.0691*Input!$B$21</f>
        <v>3203.4846375</v>
      </c>
      <c r="E7" s="25" t="n">
        <f aca="false">IF(B7&lt;Input!$B$6, MIN(Input!$B$26, 5300), 0)</f>
        <v>2000</v>
      </c>
      <c r="F7" s="25" t="n">
        <f aca="false">C7*Input!$B$27</f>
        <v>695.401875</v>
      </c>
      <c r="G7" s="25" t="n">
        <f aca="false">H6*Input!$B$28</f>
        <v>901.39525</v>
      </c>
      <c r="H7" s="25" t="n">
        <f aca="false">H6+D7+E7+F7+G7</f>
        <v>32554.4317625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C8*0.0691*Input!$B$21</f>
        <v>3251.5369070625</v>
      </c>
      <c r="E8" s="25" t="n">
        <f aca="false">IF(B8&lt;Input!$B$6, MIN(Input!$B$26, 5300), 0)</f>
        <v>2000</v>
      </c>
      <c r="F8" s="25" t="n">
        <f aca="false">C8*Input!$B$27</f>
        <v>705.832903125</v>
      </c>
      <c r="G8" s="25" t="n">
        <f aca="false">H7*Input!$B$28</f>
        <v>1139.4051116875</v>
      </c>
      <c r="H8" s="25" t="n">
        <f aca="false">H7+D8+E8+F8+G8</f>
        <v>39651.206684375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C9*0.0691*Input!$B$21</f>
        <v>3300.30996066844</v>
      </c>
      <c r="E9" s="25" t="n">
        <f aca="false">IF(B9&lt;Input!$B$6, MIN(Input!$B$26, 5300), 0)</f>
        <v>2000</v>
      </c>
      <c r="F9" s="25" t="n">
        <f aca="false">C9*Input!$B$27</f>
        <v>716.420396671875</v>
      </c>
      <c r="G9" s="25" t="n">
        <f aca="false">H8*Input!$B$28</f>
        <v>1387.79223395313</v>
      </c>
      <c r="H9" s="25" t="n">
        <f aca="false">H8+D9+E9+F9+G9</f>
        <v>47055.7292756684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C10*0.0691*Input!$B$21</f>
        <v>3349.81461007846</v>
      </c>
      <c r="E10" s="25" t="n">
        <f aca="false">IF(B10&lt;Input!$B$6, MIN(Input!$B$26, 5300), 0)</f>
        <v>2000</v>
      </c>
      <c r="F10" s="25" t="n">
        <f aca="false">C10*Input!$B$27</f>
        <v>727.166702621953</v>
      </c>
      <c r="G10" s="25" t="n">
        <f aca="false">H9*Input!$B$28</f>
        <v>1646.9505246484</v>
      </c>
      <c r="H10" s="25" t="n">
        <f aca="false">H9+D10+E10+F10+G10</f>
        <v>54779.6611130172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C11*0.0691*Input!$B$21</f>
        <v>3400.06182922964</v>
      </c>
      <c r="E11" s="25" t="n">
        <f aca="false">IF(B11&lt;Input!$B$6, MIN(Input!$B$26, 5300), 0)</f>
        <v>2000</v>
      </c>
      <c r="F11" s="25" t="n">
        <f aca="false">C11*Input!$B$27</f>
        <v>738.074203161282</v>
      </c>
      <c r="G11" s="25" t="n">
        <f aca="false">H10*Input!$B$28</f>
        <v>1917.2881389556</v>
      </c>
      <c r="H11" s="25" t="n">
        <f aca="false">H10+D11+E11+F11+G11</f>
        <v>62835.0852843638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C12*0.0691*Input!$B$21</f>
        <v>3451.06275666808</v>
      </c>
      <c r="E12" s="25" t="n">
        <f aca="false">IF(B12&lt;Input!$B$6, MIN(Input!$B$26, 5300), 0)</f>
        <v>2000</v>
      </c>
      <c r="F12" s="25" t="n">
        <f aca="false">C12*Input!$B$27</f>
        <v>749.145316208701</v>
      </c>
      <c r="G12" s="25" t="n">
        <f aca="false">H11*Input!$B$28</f>
        <v>2199.22798495273</v>
      </c>
      <c r="H12" s="25" t="n">
        <f aca="false">H11+D12+E12+F12+G12</f>
        <v>71234.5213421933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C13*0.0691*Input!$B$21</f>
        <v>3502.8286980181</v>
      </c>
      <c r="E13" s="25" t="n">
        <f aca="false">IF(B13&lt;Input!$B$6, MIN(Input!$B$26, 5300), 0)</f>
        <v>2000</v>
      </c>
      <c r="F13" s="25" t="n">
        <f aca="false">C13*Input!$B$27</f>
        <v>760.382495951832</v>
      </c>
      <c r="G13" s="25" t="n">
        <f aca="false">H12*Input!$B$28</f>
        <v>2493.20824697676</v>
      </c>
      <c r="H13" s="25" t="n">
        <f aca="false">H12+D13+E13+F13+G13</f>
        <v>79990.94078314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C14*0.0691*Input!$B$21</f>
        <v>3555.37112848838</v>
      </c>
      <c r="E14" s="25" t="n">
        <f aca="false">IF(B14&lt;Input!$B$6, MIN(Input!$B$26, 5300), 0)</f>
        <v>2000</v>
      </c>
      <c r="F14" s="25" t="n">
        <f aca="false">C14*Input!$B$27</f>
        <v>771.788233391109</v>
      </c>
      <c r="G14" s="25" t="n">
        <f aca="false">H13*Input!$B$28</f>
        <v>2799.6829274099</v>
      </c>
      <c r="H14" s="25" t="n">
        <f aca="false">H13+D14+E14+F14+G14</f>
        <v>89117.7830724294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C15*0.0691*Input!$B$21</f>
        <v>3608.7016954157</v>
      </c>
      <c r="E15" s="25" t="n">
        <f aca="false">IF(B15&lt;Input!$B$6, MIN(Input!$B$26, 5300), 0)</f>
        <v>2000</v>
      </c>
      <c r="F15" s="25" t="n">
        <f aca="false">C15*Input!$B$27</f>
        <v>783.365056891976</v>
      </c>
      <c r="G15" s="25" t="n">
        <f aca="false">H14*Input!$B$28</f>
        <v>3119.12240753503</v>
      </c>
      <c r="H15" s="25" t="n">
        <f aca="false">H14+D15+E15+F15+G15</f>
        <v>98628.9722322721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C16*0.0691*Input!$B$21</f>
        <v>3662.83222084694</v>
      </c>
      <c r="E16" s="25" t="n">
        <f aca="false">IF(B16&lt;Input!$B$6, MIN(Input!$B$26, 5300), 0)</f>
        <v>2000</v>
      </c>
      <c r="F16" s="25" t="n">
        <f aca="false">C16*Input!$B$27</f>
        <v>795.115532745355</v>
      </c>
      <c r="G16" s="25" t="n">
        <f aca="false">H15*Input!$B$28</f>
        <v>3452.01402812952</v>
      </c>
      <c r="H16" s="25" t="n">
        <f aca="false">H15+D16+E16+F16+G16</f>
        <v>108538.934013994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C17*0.0691*Input!$B$21</f>
        <v>3717.77470415964</v>
      </c>
      <c r="E17" s="25" t="n">
        <f aca="false">IF(B17&lt;Input!$B$6, MIN(Input!$B$26, 5300), 0)</f>
        <v>2000</v>
      </c>
      <c r="F17" s="25" t="n">
        <f aca="false">C17*Input!$B$27</f>
        <v>807.042265736536</v>
      </c>
      <c r="G17" s="25" t="n">
        <f aca="false">H16*Input!$B$28</f>
        <v>3798.86269048979</v>
      </c>
      <c r="H17" s="25" t="n">
        <f aca="false">H16+D17+E17+F17+G17</f>
        <v>118862.61367438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C18*0.0691*Input!$B$21</f>
        <v>3773.54132472203</v>
      </c>
      <c r="E18" s="25" t="n">
        <f aca="false">IF(B18&lt;Input!$B$6, MIN(Input!$B$26, 5300), 0)</f>
        <v>2000</v>
      </c>
      <c r="F18" s="25" t="n">
        <f aca="false">C18*Input!$B$27</f>
        <v>819.147899722583</v>
      </c>
      <c r="G18" s="25" t="n">
        <f aca="false">H17*Input!$B$28</f>
        <v>4160.1914786033</v>
      </c>
      <c r="H18" s="25" t="n">
        <f aca="false">H17+D18+E18+F18+G18</f>
        <v>129615.494377428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C19*0.0691*Input!$B$21</f>
        <v>3830.14444459286</v>
      </c>
      <c r="E19" s="25" t="n">
        <f aca="false">IF(B19&lt;Input!$B$6, MIN(Input!$B$26, 5300), 0)</f>
        <v>2000</v>
      </c>
      <c r="F19" s="25" t="n">
        <f aca="false">C19*Input!$B$27</f>
        <v>831.435118218422</v>
      </c>
      <c r="G19" s="25" t="n">
        <f aca="false">H18*Input!$B$28</f>
        <v>4536.54230320997</v>
      </c>
      <c r="H19" s="25" t="n">
        <f aca="false">H18+D19+E19+F19+G19</f>
        <v>140813.616243449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C20*0.0691*Input!$B$21</f>
        <v>3887.59661126176</v>
      </c>
      <c r="E20" s="25" t="n">
        <f aca="false">IF(B20&lt;Input!$B$6, MIN(Input!$B$26, 5300), 0)</f>
        <v>2000</v>
      </c>
      <c r="F20" s="25" t="n">
        <f aca="false">C20*Input!$B$27</f>
        <v>843.906644991698</v>
      </c>
      <c r="G20" s="25" t="n">
        <f aca="false">H19*Input!$B$28</f>
        <v>4928.47656852072</v>
      </c>
      <c r="H20" s="25" t="n">
        <f aca="false">H19+D20+E20+F20+G20</f>
        <v>152473.596068223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C21*0.0691*Input!$B$21</f>
        <v>3945.91056043068</v>
      </c>
      <c r="E21" s="25" t="n">
        <f aca="false">IF(B21&lt;Input!$B$6, MIN(Input!$B$26, 5300), 0)</f>
        <v>2000</v>
      </c>
      <c r="F21" s="25" t="n">
        <f aca="false">C21*Input!$B$27</f>
        <v>856.565244666574</v>
      </c>
      <c r="G21" s="25" t="n">
        <f aca="false">H20*Input!$B$28</f>
        <v>5336.57586238781</v>
      </c>
      <c r="H21" s="25" t="n">
        <f aca="false">H20+D21+E21+F21+G21</f>
        <v>164612.647735708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C22*0.0691*Input!$B$21</f>
        <v>4005.09921883714</v>
      </c>
      <c r="E22" s="25" t="n">
        <f aca="false">IF(B22&lt;Input!$B$6, MIN(Input!$B$26, 5300), 0)</f>
        <v>2000</v>
      </c>
      <c r="F22" s="25" t="n">
        <f aca="false">C22*Input!$B$27</f>
        <v>869.413723336572</v>
      </c>
      <c r="G22" s="25" t="n">
        <f aca="false">H21*Input!$B$28</f>
        <v>5761.44267074979</v>
      </c>
      <c r="H22" s="25" t="n">
        <f aca="false">H21+D22+E22+F22+G22</f>
        <v>177248.603348632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C23*0.0691*Input!$B$21</f>
        <v>4065.1757071197</v>
      </c>
      <c r="E23" s="25" t="n">
        <f aca="false">IF(B23&lt;Input!$B$6, MIN(Input!$B$26, 5300), 0)</f>
        <v>2000</v>
      </c>
      <c r="F23" s="25" t="n">
        <f aca="false">C23*Input!$B$27</f>
        <v>882.454929186621</v>
      </c>
      <c r="G23" s="25" t="n">
        <f aca="false">H22*Input!$B$28</f>
        <v>6203.70111720211</v>
      </c>
      <c r="H23" s="25" t="n">
        <f aca="false">H22+D23+E23+F23+G23</f>
        <v>190399.93510214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C24*0.0691*Input!$B$21</f>
        <v>4126.15334272649</v>
      </c>
      <c r="E24" s="25" t="n">
        <f aca="false">IF(B24&lt;Input!$B$6, MIN(Input!$B$26, 5300), 0)</f>
        <v>2000</v>
      </c>
      <c r="F24" s="25" t="n">
        <f aca="false">C24*Input!$B$27</f>
        <v>895.69175312442</v>
      </c>
      <c r="G24" s="25" t="n">
        <f aca="false">H23*Input!$B$28</f>
        <v>6663.9977285749</v>
      </c>
      <c r="H24" s="25" t="n">
        <f aca="false">H23+D24+E24+F24+G24</f>
        <v>204085.777926566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C25*0.0691*Input!$B$21</f>
        <v>4188.04564286739</v>
      </c>
      <c r="E25" s="25" t="n">
        <f aca="false">IF(B25&lt;Input!$B$6, MIN(Input!$B$26, 5300), 0)</f>
        <v>2000</v>
      </c>
      <c r="F25" s="25" t="n">
        <f aca="false">C25*Input!$B$27</f>
        <v>909.127129421286</v>
      </c>
      <c r="G25" s="25" t="n">
        <f aca="false">H24*Input!$B$28</f>
        <v>7143.00222742981</v>
      </c>
      <c r="H25" s="25" t="n">
        <f aca="false">H24+D25+E25+F25+G25</f>
        <v>218325.952926284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C26*0.0691*Input!$B$21</f>
        <v>4250.8663275104</v>
      </c>
      <c r="E26" s="25" t="n">
        <f aca="false">IF(B26&lt;Input!$B$6, MIN(Input!$B$26, 5300), 0)</f>
        <v>2000</v>
      </c>
      <c r="F26" s="25" t="n">
        <f aca="false">C26*Input!$B$27</f>
        <v>922.764036362605</v>
      </c>
      <c r="G26" s="25" t="n">
        <f aca="false">H25*Input!$B$28</f>
        <v>7641.40835241995</v>
      </c>
      <c r="H26" s="25" t="n">
        <f aca="false">H25+D26+E26+F26+G26</f>
        <v>233140.991642577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C27*0.0691*Input!$B$21</f>
        <v>0</v>
      </c>
      <c r="E27" s="25" t="n">
        <f aca="false">IF(B27&lt;Input!$B$6, MIN(Input!$B$26, 5300), 0)</f>
        <v>0</v>
      </c>
      <c r="F27" s="25" t="n">
        <f aca="false">C27*Input!$B$27</f>
        <v>0</v>
      </c>
      <c r="G27" s="25" t="n">
        <f aca="false">H26*Input!$B$28</f>
        <v>8159.93470749021</v>
      </c>
      <c r="H27" s="25" t="n">
        <f aca="false">H26+D27+E27+F27+G27</f>
        <v>241300.926350068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C28*0.0691*Input!$B$21</f>
        <v>0</v>
      </c>
      <c r="E28" s="25" t="n">
        <f aca="false">IF(B28&lt;Input!$B$6, MIN(Input!$B$26, 5300), 0)</f>
        <v>0</v>
      </c>
      <c r="F28" s="25" t="n">
        <f aca="false">C28*Input!$B$27</f>
        <v>0</v>
      </c>
      <c r="G28" s="25" t="n">
        <f aca="false">H27*Input!$B$28</f>
        <v>8445.53242225237</v>
      </c>
      <c r="H28" s="25" t="n">
        <f aca="false">H27+D28+E28+F28+G28</f>
        <v>249746.45877232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C29*0.0691*Input!$B$21</f>
        <v>0</v>
      </c>
      <c r="E29" s="25" t="n">
        <f aca="false">IF(B29&lt;Input!$B$6, MIN(Input!$B$26, 5300), 0)</f>
        <v>0</v>
      </c>
      <c r="F29" s="25" t="n">
        <f aca="false">C29*Input!$B$27</f>
        <v>0</v>
      </c>
      <c r="G29" s="25" t="n">
        <f aca="false">H28*Input!$B$28</f>
        <v>8741.1260570312</v>
      </c>
      <c r="H29" s="25" t="n">
        <f aca="false">H28+D29+E29+F29+G29</f>
        <v>258487.584829351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C30*0.0691*Input!$B$21</f>
        <v>0</v>
      </c>
      <c r="E30" s="25" t="n">
        <f aca="false">IF(B30&lt;Input!$B$6, MIN(Input!$B$26, 5300), 0)</f>
        <v>0</v>
      </c>
      <c r="F30" s="25" t="n">
        <f aca="false">C30*Input!$B$27</f>
        <v>0</v>
      </c>
      <c r="G30" s="25" t="n">
        <f aca="false">H29*Input!$B$28</f>
        <v>9047.06546902729</v>
      </c>
      <c r="H30" s="25" t="n">
        <f aca="false">H29+D30+E30+F30+G30</f>
        <v>267534.650298378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C31*0.0691*Input!$B$21</f>
        <v>0</v>
      </c>
      <c r="E31" s="25" t="n">
        <f aca="false">IF(B31&lt;Input!$B$6, MIN(Input!$B$26, 5300), 0)</f>
        <v>0</v>
      </c>
      <c r="F31" s="25" t="n">
        <f aca="false">C31*Input!$B$27</f>
        <v>0</v>
      </c>
      <c r="G31" s="25" t="n">
        <f aca="false">H30*Input!$B$28</f>
        <v>9363.71276044324</v>
      </c>
      <c r="H31" s="25" t="n">
        <f aca="false">H30+D31+E31+F31+G31</f>
        <v>276898.363058822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C32*0.0691*Input!$B$21</f>
        <v>0</v>
      </c>
      <c r="E32" s="25" t="n">
        <f aca="false">IF(B32&lt;Input!$B$6, MIN(Input!$B$26, 5300), 0)</f>
        <v>0</v>
      </c>
      <c r="F32" s="25" t="n">
        <f aca="false">C32*Input!$B$27</f>
        <v>0</v>
      </c>
      <c r="G32" s="25" t="n">
        <f aca="false">H31*Input!$B$28</f>
        <v>9691.44270705876</v>
      </c>
      <c r="H32" s="25" t="n">
        <f aca="false">H31+D32+E32+F32+G32</f>
        <v>286589.80576588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C33*0.0691*Input!$B$21</f>
        <v>0</v>
      </c>
      <c r="E33" s="25" t="n">
        <f aca="false">IF(B33&lt;Input!$B$6, MIN(Input!$B$26, 5300), 0)</f>
        <v>0</v>
      </c>
      <c r="F33" s="25" t="n">
        <f aca="false">C33*Input!$B$27</f>
        <v>0</v>
      </c>
      <c r="G33" s="25" t="n">
        <f aca="false">H32*Input!$B$28</f>
        <v>10030.6432018058</v>
      </c>
      <c r="H33" s="25" t="n">
        <f aca="false">H32+D33+E33+F33+G33</f>
        <v>296620.448967686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C34*0.0691*Input!$B$21</f>
        <v>0</v>
      </c>
      <c r="E34" s="25" t="n">
        <f aca="false">IF(B34&lt;Input!$B$6, MIN(Input!$B$26, 5300), 0)</f>
        <v>0</v>
      </c>
      <c r="F34" s="25" t="n">
        <f aca="false">C34*Input!$B$27</f>
        <v>0</v>
      </c>
      <c r="G34" s="25" t="n">
        <f aca="false">H33*Input!$B$28</f>
        <v>10381.715713869</v>
      </c>
      <c r="H34" s="25" t="n">
        <f aca="false">H33+D34+E34+F34+G34</f>
        <v>307002.164681555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C35*0.0691*Input!$B$21</f>
        <v>0</v>
      </c>
      <c r="E35" s="25" t="n">
        <f aca="false">IF(B35&lt;Input!$B$6, MIN(Input!$B$26, 5300), 0)</f>
        <v>0</v>
      </c>
      <c r="F35" s="25" t="n">
        <f aca="false">C35*Input!$B$27</f>
        <v>0</v>
      </c>
      <c r="G35" s="25" t="n">
        <f aca="false">H34*Input!$B$28</f>
        <v>10745.0757638544</v>
      </c>
      <c r="H35" s="25" t="n">
        <f aca="false">H34+D35+E35+F35+G35</f>
        <v>317747.24044541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C36*0.0691*Input!$B$21</f>
        <v>0</v>
      </c>
      <c r="E36" s="25" t="n">
        <f aca="false">IF(B36&lt;Input!$B$6, MIN(Input!$B$26, 5300), 0)</f>
        <v>0</v>
      </c>
      <c r="F36" s="25" t="n">
        <f aca="false">C36*Input!$B$27</f>
        <v>0</v>
      </c>
      <c r="G36" s="25" t="n">
        <f aca="false">H35*Input!$B$28</f>
        <v>11121.1534155893</v>
      </c>
      <c r="H36" s="25" t="n">
        <f aca="false">H35+D36+E36+F36+G36</f>
        <v>328868.393860999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C37*0.0691*Input!$B$21</f>
        <v>0</v>
      </c>
      <c r="E37" s="25" t="n">
        <f aca="false">IF(B37&lt;Input!$B$6, MIN(Input!$B$26, 5300), 0)</f>
        <v>0</v>
      </c>
      <c r="F37" s="25" t="n">
        <f aca="false">C37*Input!$B$27</f>
        <v>0</v>
      </c>
      <c r="G37" s="25" t="n">
        <f aca="false">H36*Input!$B$28</f>
        <v>11510.393785135</v>
      </c>
      <c r="H37" s="25" t="n">
        <f aca="false">H36+D37+E37+F37+G37</f>
        <v>340378.787646134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C38*0.0691*Input!$B$21</f>
        <v>0</v>
      </c>
      <c r="E38" s="25" t="n">
        <f aca="false">IF(B38&lt;Input!$B$6, MIN(Input!$B$26, 5300), 0)</f>
        <v>0</v>
      </c>
      <c r="F38" s="25" t="n">
        <f aca="false">C38*Input!$B$27</f>
        <v>0</v>
      </c>
      <c r="G38" s="25" t="n">
        <f aca="false">H37*Input!$B$28</f>
        <v>11913.2575676147</v>
      </c>
      <c r="H38" s="25" t="n">
        <f aca="false">H37+D38+E38+F38+G38</f>
        <v>352292.045213749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C39*0.0691*Input!$B$21</f>
        <v>0</v>
      </c>
      <c r="E39" s="25" t="n">
        <f aca="false">IF(B39&lt;Input!$B$6, MIN(Input!$B$26, 5300), 0)</f>
        <v>0</v>
      </c>
      <c r="F39" s="25" t="n">
        <f aca="false">C39*Input!$B$27</f>
        <v>0</v>
      </c>
      <c r="G39" s="25" t="n">
        <f aca="false">H38*Input!$B$28</f>
        <v>12330.2215824812</v>
      </c>
      <c r="H39" s="25" t="n">
        <f aca="false">H38+D39+E39+F39+G39</f>
        <v>364622.26679623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C40*0.0691*Input!$B$21</f>
        <v>0</v>
      </c>
      <c r="E40" s="25" t="n">
        <f aca="false">IF(B40&lt;Input!$B$6, MIN(Input!$B$26, 5300), 0)</f>
        <v>0</v>
      </c>
      <c r="F40" s="25" t="n">
        <f aca="false">C40*Input!$B$27</f>
        <v>0</v>
      </c>
      <c r="G40" s="25" t="n">
        <f aca="false">H39*Input!$B$28</f>
        <v>12761.779337868</v>
      </c>
      <c r="H40" s="25" t="n">
        <f aca="false">H39+D40+E40+F40+G40</f>
        <v>377384.046134098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C41*0.0691*Input!$B$21</f>
        <v>0</v>
      </c>
      <c r="E41" s="25" t="n">
        <f aca="false">IF(B41&lt;Input!$B$6, MIN(Input!$B$26, 5300), 0)</f>
        <v>0</v>
      </c>
      <c r="F41" s="25" t="n">
        <f aca="false">C41*Input!$B$27</f>
        <v>0</v>
      </c>
      <c r="G41" s="25" t="n">
        <f aca="false">H40*Input!$B$28</f>
        <v>13208.4416146934</v>
      </c>
      <c r="H41" s="25" t="n">
        <f aca="false">H40+D41+E41+F41+G41</f>
        <v>390592.487748791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C42*0.0691*Input!$B$21</f>
        <v>0</v>
      </c>
      <c r="E42" s="25" t="n">
        <f aca="false">IF(B42&lt;Input!$B$6, MIN(Input!$B$26, 5300), 0)</f>
        <v>0</v>
      </c>
      <c r="F42" s="25" t="n">
        <f aca="false">C42*Input!$B$27</f>
        <v>0</v>
      </c>
      <c r="G42" s="25" t="n">
        <f aca="false">H41*Input!$B$28</f>
        <v>13670.7370712077</v>
      </c>
      <c r="H42" s="25" t="n">
        <f aca="false">H41+D42+E42+F42+G42</f>
        <v>404263.224819999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C43*0.0691*Input!$B$21</f>
        <v>0</v>
      </c>
      <c r="E43" s="25" t="n">
        <f aca="false">IF(B43&lt;Input!$B$6, MIN(Input!$B$26, 5300), 0)</f>
        <v>0</v>
      </c>
      <c r="F43" s="25" t="n">
        <f aca="false">C43*Input!$B$27</f>
        <v>0</v>
      </c>
      <c r="G43" s="25" t="n">
        <f aca="false">H42*Input!$B$28</f>
        <v>14149.2128687</v>
      </c>
      <c r="H43" s="25" t="n">
        <f aca="false">H42+D43+E43+F43+G43</f>
        <v>418412.437688699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C44*0.0691*Input!$B$21</f>
        <v>0</v>
      </c>
      <c r="E44" s="25" t="n">
        <f aca="false">IF(B44&lt;Input!$B$6, MIN(Input!$B$26, 5300), 0)</f>
        <v>0</v>
      </c>
      <c r="F44" s="25" t="n">
        <f aca="false">C44*Input!$B$27</f>
        <v>0</v>
      </c>
      <c r="G44" s="25" t="n">
        <f aca="false">H43*Input!$B$28</f>
        <v>14644.4353191045</v>
      </c>
      <c r="H44" s="25" t="n">
        <f aca="false">H43+D44+E44+F44+G44</f>
        <v>433056.873007803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C45*0.0691*Input!$B$21</f>
        <v>0</v>
      </c>
      <c r="E45" s="25" t="n">
        <f aca="false">IF(B45&lt;Input!$B$6, MIN(Input!$B$26, 5300), 0)</f>
        <v>0</v>
      </c>
      <c r="F45" s="25" t="n">
        <f aca="false">C45*Input!$B$27</f>
        <v>0</v>
      </c>
      <c r="G45" s="25" t="n">
        <f aca="false">H44*Input!$B$28</f>
        <v>15156.9905552731</v>
      </c>
      <c r="H45" s="25" t="n">
        <f aca="false">H44+D45+E45+F45+G45</f>
        <v>448213.863563077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C46*0.0691*Input!$B$21</f>
        <v>0</v>
      </c>
      <c r="E46" s="25" t="n">
        <f aca="false">IF(B46&lt;Input!$B$6, MIN(Input!$B$26, 5300), 0)</f>
        <v>0</v>
      </c>
      <c r="F46" s="25" t="n">
        <f aca="false">C46*Input!$B$27</f>
        <v>0</v>
      </c>
      <c r="G46" s="25" t="n">
        <f aca="false">H45*Input!$B$28</f>
        <v>15687.4852247077</v>
      </c>
      <c r="H46" s="25" t="n">
        <f aca="false">H45+D46+E46+F46+G46</f>
        <v>463901.348787784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C47*0.0691*Input!$B$21</f>
        <v>0</v>
      </c>
      <c r="E47" s="25" t="n">
        <f aca="false">IF(B47&lt;Input!$B$6, MIN(Input!$B$26, 5300), 0)</f>
        <v>0</v>
      </c>
      <c r="F47" s="25" t="n">
        <f aca="false">C47*Input!$B$27</f>
        <v>0</v>
      </c>
      <c r="G47" s="25" t="n">
        <f aca="false">H46*Input!$B$28</f>
        <v>16236.5472075724</v>
      </c>
      <c r="H47" s="25" t="n">
        <f aca="false">H46+D47+E47+F47+G47</f>
        <v>480137.895995357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C48*0.0691*Input!$B$21</f>
        <v>0</v>
      </c>
      <c r="E48" s="25" t="n">
        <f aca="false">IF(B48&lt;Input!$B$6, MIN(Input!$B$26, 5300), 0)</f>
        <v>0</v>
      </c>
      <c r="F48" s="25" t="n">
        <f aca="false">C48*Input!$B$27</f>
        <v>0</v>
      </c>
      <c r="G48" s="25" t="n">
        <f aca="false">H47*Input!$B$28</f>
        <v>16804.8263598375</v>
      </c>
      <c r="H48" s="25" t="n">
        <f aca="false">H47+D48+E48+F48+G48</f>
        <v>496942.722355194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C49*0.0691*Input!$B$21</f>
        <v>0</v>
      </c>
      <c r="E49" s="25" t="n">
        <f aca="false">IF(B49&lt;Input!$B$6, MIN(Input!$B$26, 5300), 0)</f>
        <v>0</v>
      </c>
      <c r="F49" s="25" t="n">
        <f aca="false">C49*Input!$B$27</f>
        <v>0</v>
      </c>
      <c r="G49" s="25" t="n">
        <f aca="false">H48*Input!$B$28</f>
        <v>17392.9952824318</v>
      </c>
      <c r="H49" s="25" t="n">
        <f aca="false">H48+D49+E49+F49+G49</f>
        <v>514335.717637626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C50*0.0691*Input!$B$21</f>
        <v>0</v>
      </c>
      <c r="E50" s="25" t="n">
        <f aca="false">IF(B50&lt;Input!$B$6, MIN(Input!$B$26, 5300), 0)</f>
        <v>0</v>
      </c>
      <c r="F50" s="25" t="n">
        <f aca="false">C50*Input!$B$27</f>
        <v>0</v>
      </c>
      <c r="G50" s="25" t="n">
        <f aca="false">H49*Input!$B$28</f>
        <v>18001.7501173169</v>
      </c>
      <c r="H50" s="25" t="n">
        <f aca="false">H49+D50+E50+F50+G50</f>
        <v>532337.467754943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C51*0.0691*Input!$B$21</f>
        <v>0</v>
      </c>
      <c r="E51" s="25" t="n">
        <f aca="false">IF(B51&lt;Input!$B$6, MIN(Input!$B$26, 5300), 0)</f>
        <v>0</v>
      </c>
      <c r="F51" s="25" t="n">
        <f aca="false">C51*Input!$B$27</f>
        <v>0</v>
      </c>
      <c r="G51" s="25" t="n">
        <f aca="false">H50*Input!$B$28</f>
        <v>18631.811371423</v>
      </c>
      <c r="H51" s="25" t="n">
        <f aca="false">H50+D51+E51+F51+G51</f>
        <v>550969.279126366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C52*0.0691*Input!$B$21</f>
        <v>0</v>
      </c>
      <c r="E52" s="25" t="n">
        <f aca="false">IF(B52&lt;Input!$B$6, MIN(Input!$B$26, 5300), 0)</f>
        <v>0</v>
      </c>
      <c r="F52" s="25" t="n">
        <f aca="false">C52*Input!$B$27</f>
        <v>0</v>
      </c>
      <c r="G52" s="25" t="n">
        <f aca="false">H51*Input!$B$28</f>
        <v>19283.9247694228</v>
      </c>
      <c r="H52" s="25" t="n">
        <f aca="false">H51+D52+E52+F52+G52</f>
        <v>570253.203895789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C53*0.0691*Input!$B$21</f>
        <v>0</v>
      </c>
      <c r="E53" s="25" t="n">
        <f aca="false">IF(B53&lt;Input!$B$6, MIN(Input!$B$26, 5300), 0)</f>
        <v>0</v>
      </c>
      <c r="F53" s="25" t="n">
        <f aca="false">C53*Input!$B$27</f>
        <v>0</v>
      </c>
      <c r="G53" s="25" t="n">
        <f aca="false">H52*Input!$B$28</f>
        <v>19958.8621363526</v>
      </c>
      <c r="H53" s="25" t="n">
        <f aca="false">H52+D53+E53+F53+G53</f>
        <v>590212.066032141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C54*0.0691*Input!$B$21</f>
        <v>0</v>
      </c>
      <c r="E54" s="25" t="n">
        <f aca="false">IF(B54&lt;Input!$B$6, MIN(Input!$B$26, 5300), 0)</f>
        <v>0</v>
      </c>
      <c r="F54" s="25" t="n">
        <f aca="false">C54*Input!$B$27</f>
        <v>0</v>
      </c>
      <c r="G54" s="25" t="n">
        <f aca="false">H53*Input!$B$28</f>
        <v>20657.4223111249</v>
      </c>
      <c r="H54" s="25" t="n">
        <f aca="false">H53+D54+E54+F54+G54</f>
        <v>610869.488343266</v>
      </c>
    </row>
    <row r="57" customFormat="false" ht="15" hidden="false" customHeight="true" outlineLevel="0" collapsed="false">
      <c r="A57" s="4" t="s">
        <v>83</v>
      </c>
      <c r="B57" s="4"/>
      <c r="C57" s="4"/>
      <c r="D57" s="4"/>
      <c r="E57" s="4"/>
      <c r="F57" s="4"/>
      <c r="G57" s="4"/>
      <c r="H57" s="4"/>
    </row>
    <row r="58" customFormat="false" ht="15" hidden="false" customHeight="true" outlineLevel="0" collapsed="false">
      <c r="A58" s="5" t="s">
        <v>102</v>
      </c>
      <c r="B58" s="15" t="n">
        <f aca="false">INDEX(H5:H54, MATCH(Input!$B$6-1, B5:B54, 0))</f>
        <v>233140.991642577</v>
      </c>
    </row>
    <row r="59" customFormat="false" ht="15" hidden="false" customHeight="true" outlineLevel="0" collapsed="false">
      <c r="A59" s="5" t="s">
        <v>103</v>
      </c>
      <c r="B59" s="30" t="n">
        <f aca="false">Input!$B$38</f>
        <v>0.114</v>
      </c>
    </row>
    <row r="60" customFormat="false" ht="15" hidden="false" customHeight="true" outlineLevel="0" collapsed="false">
      <c r="A60" s="5" t="s">
        <v>104</v>
      </c>
      <c r="B60" s="15" t="n">
        <f aca="false">B58*B59</f>
        <v>26578.0730472538</v>
      </c>
    </row>
    <row r="61" customFormat="false" ht="15" hidden="false" customHeight="true" outlineLevel="0" collapsed="false">
      <c r="A61" s="21" t="s">
        <v>105</v>
      </c>
      <c r="B61" s="29" t="n">
        <f aca="false">B58-B60</f>
        <v>206562.918595324</v>
      </c>
    </row>
    <row r="62" customFormat="false" ht="15" hidden="false" customHeight="true" outlineLevel="0" collapsed="false">
      <c r="A62" s="5" t="s">
        <v>106</v>
      </c>
      <c r="B62" s="15" t="n">
        <f aca="false">B61*0.055</f>
        <v>11360.9605227428</v>
      </c>
    </row>
    <row r="63" customFormat="false" ht="15" hidden="false" customHeight="true" outlineLevel="0" collapsed="false">
      <c r="A63" s="5" t="s">
        <v>107</v>
      </c>
      <c r="B63" s="15" t="n">
        <f aca="false">B62/13</f>
        <v>873.920040210984</v>
      </c>
    </row>
    <row r="64" customFormat="false" ht="15" hidden="false" customHeight="true" outlineLevel="0" collapsed="false">
      <c r="A64" s="5" t="s">
        <v>108</v>
      </c>
      <c r="B64" s="15" t="n">
        <f aca="false">SUM(E5:E54)*Input!$B$37</f>
        <v>14520</v>
      </c>
    </row>
    <row r="66" customFormat="false" ht="15" hidden="false" customHeight="true" outlineLevel="0" collapsed="false">
      <c r="A66" s="21" t="s">
        <v>109</v>
      </c>
    </row>
    <row r="67" customFormat="false" ht="15" hidden="false" customHeight="true" outlineLevel="0" collapsed="false">
      <c r="A67" s="22" t="s">
        <v>110</v>
      </c>
      <c r="B67" s="22"/>
      <c r="C67" s="22"/>
      <c r="D67" s="22"/>
      <c r="E67" s="22"/>
      <c r="F67" s="22"/>
      <c r="G67" s="22"/>
      <c r="H67" s="22"/>
    </row>
    <row r="68" customFormat="false" ht="15" hidden="false" customHeight="true" outlineLevel="0" collapsed="false">
      <c r="A68" s="22" t="s">
        <v>111</v>
      </c>
      <c r="B68" s="22"/>
      <c r="C68" s="22"/>
      <c r="D68" s="22"/>
      <c r="E68" s="22"/>
      <c r="F68" s="22"/>
      <c r="G68" s="22"/>
      <c r="H68" s="22"/>
    </row>
    <row r="69" customFormat="false" ht="15" hidden="false" customHeight="true" outlineLevel="0" collapsed="false">
      <c r="A69" s="22" t="s">
        <v>112</v>
      </c>
      <c r="B69" s="22"/>
      <c r="C69" s="22"/>
      <c r="D69" s="22"/>
      <c r="E69" s="22"/>
      <c r="F69" s="22"/>
      <c r="G69" s="22"/>
      <c r="H69" s="22"/>
    </row>
    <row r="70" customFormat="false" ht="15" hidden="false" customHeight="true" outlineLevel="0" collapsed="false">
      <c r="A70" s="22" t="s">
        <v>113</v>
      </c>
      <c r="B70" s="22"/>
      <c r="C70" s="22"/>
      <c r="D70" s="22"/>
      <c r="E70" s="22"/>
      <c r="F70" s="22"/>
      <c r="G70" s="22"/>
      <c r="H70" s="22"/>
    </row>
    <row r="71" customFormat="false" ht="15" hidden="false" customHeight="true" outlineLevel="0" collapsed="false">
      <c r="A71" s="22" t="s">
        <v>114</v>
      </c>
      <c r="B71" s="22"/>
      <c r="C71" s="22"/>
      <c r="D71" s="22"/>
      <c r="E71" s="22"/>
      <c r="F71" s="22"/>
      <c r="G71" s="22"/>
      <c r="H71" s="22"/>
    </row>
  </sheetData>
  <mergeCells count="8">
    <mergeCell ref="A1:H1"/>
    <mergeCell ref="A2:H2"/>
    <mergeCell ref="A57:H57"/>
    <mergeCell ref="A67:H67"/>
    <mergeCell ref="A68:H68"/>
    <mergeCell ref="A69:H69"/>
    <mergeCell ref="A70:H70"/>
    <mergeCell ref="A71:H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6"/>
  </cols>
  <sheetData>
    <row r="1" customFormat="false" ht="17.25" hidden="false" customHeight="true" outlineLevel="0" collapsed="false">
      <c r="A1" s="2" t="s">
        <v>115</v>
      </c>
      <c r="B1" s="2"/>
      <c r="C1" s="2"/>
      <c r="D1" s="2"/>
    </row>
    <row r="2" customFormat="false" ht="15" hidden="false" customHeight="true" outlineLevel="0" collapsed="false">
      <c r="A2" s="3" t="s">
        <v>116</v>
      </c>
      <c r="B2" s="3"/>
      <c r="C2" s="3"/>
      <c r="D2" s="3"/>
    </row>
    <row r="4" customFormat="false" ht="15" hidden="false" customHeight="true" outlineLevel="0" collapsed="false">
      <c r="A4" s="17" t="s">
        <v>117</v>
      </c>
      <c r="B4" s="17" t="s">
        <v>118</v>
      </c>
      <c r="C4" s="17" t="s">
        <v>119</v>
      </c>
      <c r="D4" s="17" t="s">
        <v>120</v>
      </c>
    </row>
    <row r="5" customFormat="false" ht="15" hidden="false" customHeight="true" outlineLevel="0" collapsed="false">
      <c r="A5" s="5" t="s">
        <v>121</v>
      </c>
      <c r="B5" s="31" t="n">
        <v>0.005</v>
      </c>
      <c r="C5" s="32" t="n">
        <f aca="false">Input!$B$12</f>
        <v>0.015</v>
      </c>
      <c r="D5" s="31" t="n">
        <v>0.025</v>
      </c>
    </row>
    <row r="6" customFormat="false" ht="15" hidden="false" customHeight="true" outlineLevel="0" collapsed="false">
      <c r="A6" s="5" t="s">
        <v>122</v>
      </c>
      <c r="B6" s="31" t="n">
        <v>0</v>
      </c>
      <c r="C6" s="32" t="n">
        <f aca="false">Input!$B$16</f>
        <v>0.005</v>
      </c>
      <c r="D6" s="31" t="n">
        <v>0.01</v>
      </c>
    </row>
    <row r="7" customFormat="false" ht="15" hidden="false" customHeight="true" outlineLevel="0" collapsed="false">
      <c r="A7" s="5" t="s">
        <v>123</v>
      </c>
      <c r="B7" s="31" t="n">
        <v>0.025</v>
      </c>
      <c r="C7" s="32" t="n">
        <f aca="false">Input!$B$17</f>
        <v>0.02</v>
      </c>
      <c r="D7" s="31" t="n">
        <v>0.015</v>
      </c>
    </row>
    <row r="8" customFormat="false" ht="15" hidden="false" customHeight="true" outlineLevel="0" collapsed="false">
      <c r="A8" s="5" t="s">
        <v>25</v>
      </c>
      <c r="B8" s="31" t="n">
        <v>0.022</v>
      </c>
      <c r="C8" s="32" t="n">
        <f aca="false">Input!$B$18</f>
        <v>0.018</v>
      </c>
      <c r="D8" s="31" t="n">
        <v>0.015</v>
      </c>
    </row>
    <row r="9" customFormat="false" ht="15" hidden="false" customHeight="true" outlineLevel="0" collapsed="false">
      <c r="A9" s="5" t="s">
        <v>39</v>
      </c>
      <c r="B9" s="32" t="n">
        <f aca="false">Input!$B$28-0.01</f>
        <v>0.025</v>
      </c>
      <c r="C9" s="32" t="n">
        <f aca="false">Input!$B$28</f>
        <v>0.035</v>
      </c>
      <c r="D9" s="32" t="n">
        <f aca="false">Input!$B$28+0.01</f>
        <v>0.045</v>
      </c>
    </row>
    <row r="11" customFormat="false" ht="15" hidden="false" customHeight="true" outlineLevel="0" collapsed="false">
      <c r="A11" s="5" t="s">
        <v>124</v>
      </c>
      <c r="B11" s="26" t="n">
        <f aca="false">(Pubblica!$E$5*(1+B6)^Input!$B$36+SUMPRODUCT((Pubblica!$A$5:$A$54&lt;Input!$B$36)*((Input!$B$10*(1+B5)^Pubblica!$A$5:$A$54+Input!$B$43-ABS(Input!$B$10*(1+B5)^Pubblica!$A$5:$A$54-Input!$B$43))/2)*Input!$B$13*(1+B6)^(Input!$B$36-1-Pubblica!$A$5:$A$54)))*VLOOKUP(Input!$B$6,Coefficienti!$A$5:$C$19,3,FALSE())*(1-B8)^(Input!$B$36/2)</f>
        <v>25820.1521293217</v>
      </c>
      <c r="C11" s="26" t="n">
        <f aca="false">(Pubblica!$E$5*(1+C6)^Input!$B$36+SUMPRODUCT((Pubblica!$A$5:$A$54&lt;Input!$B$36)*((Input!$B$10*(1+C5)^Pubblica!$A$5:$A$54+Input!$B$43-ABS(Input!$B$10*(1+C5)^Pubblica!$A$5:$A$54-Input!$B$43))/2)*Input!$B$13*(1+C6)^(Input!$B$36-1-Pubblica!$A$5:$A$54)))*VLOOKUP(Input!$B$6,Coefficienti!$A$5:$C$19,3,FALSE())*(1-C8)^(Input!$B$36/2)</f>
        <v>31007.1470754117</v>
      </c>
      <c r="D11" s="26" t="n">
        <f aca="false">(Pubblica!$E$5*(1+D6)^Input!$B$36+SUMPRODUCT((Pubblica!$A$5:$A$54&lt;Input!$B$36)*((Input!$B$10*(1+D5)^Pubblica!$A$5:$A$54+Input!$B$43-ABS(Input!$B$10*(1+D5)^Pubblica!$A$5:$A$54-Input!$B$43))/2)*Input!$B$13*(1+D6)^(Input!$B$36-1-Pubblica!$A$5:$A$54)))*VLOOKUP(Input!$B$6,Coefficienti!$A$5:$C$19,3,FALSE())*(1-D8)^(Input!$B$36/2)</f>
        <v>36820.8382399688</v>
      </c>
    </row>
    <row r="12" customFormat="false" ht="15" hidden="false" customHeight="true" outlineLevel="0" collapsed="false">
      <c r="A12" s="5" t="s">
        <v>125</v>
      </c>
      <c r="B12" s="26" t="n">
        <f aca="false">B11-MAX(0,IF(B11&lt;=28000,B11*0.23,IF(B11&lt;=50000,6440+(B11-28000)*0.33,13700+(B11-50000)*0.43))-IF(B11&lt;=8500,1955,IF(B11&lt;=28000,700+1255*(28000-B11)/19500,IF(B11&lt;=50000,700*(50000-B11)/22000,0))))-IF(IF(B11&lt;=28000,B11*0.23,IF(B11&lt;=50000,6440+(B11-28000)*0.33,13700+(B11-50000)*0.43))-IF(B11&lt;=8500,1955,IF(B11&lt;=28000,700+1255*(28000-B11)/19500,IF(B11&lt;=50000,700*(50000-B11)/22000,0)))&gt;0,B11*0.02,0)</f>
        <v>20205.4068702067</v>
      </c>
      <c r="C12" s="26" t="n">
        <f aca="false">C11-MAX(0,IF(C11&lt;=28000,C11*0.23,IF(C11&lt;=50000,6440+(C11-28000)*0.33,13700+(C11-50000)*0.43))-IF(C11&lt;=8500,1955,IF(C11&lt;=28000,700+1255*(28000-C11)/19500,IF(C11&lt;=50000,700*(50000-C11)/22000,0))))-IF(IF(C11&lt;=28000,C11*0.23,IF(C11&lt;=50000,6440+(C11-28000)*0.33,13700+(C11-50000)*0.43))-IF(C11&lt;=8500,1955,IF(C11&lt;=28000,700+1255*(28000-C11)/19500,IF(C11&lt;=50000,700*(50000-C11)/22000,0)))&gt;0,C11*0.02,0)</f>
        <v>23558.9636466181</v>
      </c>
      <c r="D12" s="26" t="n">
        <f aca="false">D11-MAX(0,IF(D11&lt;=28000,D11*0.23,IF(D11&lt;=50000,6440+(D11-28000)*0.33,13700+(D11-50000)*0.43))-IF(D11&lt;=8500,1955,IF(D11&lt;=28000,700+1255*(28000-D11)/19500,IF(D11&lt;=50000,700*(50000-D11)/22000,0))))-IF(IF(D11&lt;=28000,D11*0.23,IF(D11&lt;=50000,6440+(D11-28000)*0.33,13700+(D11-50000)*0.43))-IF(D11&lt;=8500,1955,IF(D11&lt;=28000,700+1255*(28000-D11)/19500,IF(D11&lt;=50000,700*(50000-D11)/22000,0)))&gt;0,D11*0.02,0)</f>
        <v>27152.8818210716</v>
      </c>
    </row>
    <row r="13" customFormat="false" ht="15" hidden="false" customHeight="true" outlineLevel="0" collapsed="false">
      <c r="A13" s="5" t="s">
        <v>126</v>
      </c>
      <c r="B13" s="26" t="n">
        <f aca="false">(Input!$B$22+Input!$B$25)*(1+B9)^Input!$B$36+SUMPRODUCT((Complementare!$A$5:$A$54&lt;Input!$B$36)*(Input!$B$10*(1+B5)^Complementare!$A$5:$A$54*(0.0691*Input!$B$21+Input!$B$27)+MIN(Input!$B$26,5300))*(1+B9)^(Input!$B$36-1-Complementare!$A$5:$A$54))</f>
        <v>194700.656586312</v>
      </c>
      <c r="C13" s="26" t="n">
        <f aca="false">(Input!$B$22+Input!$B$25)*(1+C9)^Input!$B$36+SUMPRODUCT((Complementare!$A$5:$A$54&lt;Input!$B$36)*(Input!$B$10*(1+C5)^Complementare!$A$5:$A$54*(0.0691*Input!$B$21+Input!$B$27)+MIN(Input!$B$26,5300))*(1+C9)^(Input!$B$36-1-Complementare!$A$5:$A$54))</f>
        <v>233140.991642577</v>
      </c>
      <c r="D13" s="26" t="n">
        <f aca="false">(Input!$B$22+Input!$B$25)*(1+D9)^Input!$B$36+SUMPRODUCT((Complementare!$A$5:$A$54&lt;Input!$B$36)*(Input!$B$10*(1+D5)^Complementare!$A$5:$A$54*(0.0691*Input!$B$21+Input!$B$27)+MIN(Input!$B$26,5300))*(1+D9)^(Input!$B$36-1-Complementare!$A$5:$A$54))</f>
        <v>279432.685515174</v>
      </c>
    </row>
    <row r="14" customFormat="false" ht="15" hidden="false" customHeight="true" outlineLevel="0" collapsed="false">
      <c r="A14" s="5" t="s">
        <v>127</v>
      </c>
      <c r="B14" s="26" t="n">
        <f aca="false">B13*(1-Input!$B$38)</f>
        <v>172504.781735473</v>
      </c>
      <c r="C14" s="26" t="n">
        <f aca="false">C13*(1-Input!$B$38)</f>
        <v>206562.918595323</v>
      </c>
      <c r="D14" s="26" t="n">
        <f aca="false">D13*(1-Input!$B$38)</f>
        <v>247577.359366444</v>
      </c>
    </row>
    <row r="15" customFormat="false" ht="15" hidden="false" customHeight="true" outlineLevel="0" collapsed="false">
      <c r="A15" s="5" t="s">
        <v>128</v>
      </c>
      <c r="B15" s="26" t="n">
        <f aca="false">B14*0.055</f>
        <v>9487.762995451</v>
      </c>
      <c r="C15" s="26" t="n">
        <f aca="false">C14*0.055</f>
        <v>11360.9605227428</v>
      </c>
      <c r="D15" s="26" t="n">
        <f aca="false">D14*0.055</f>
        <v>13616.7547651544</v>
      </c>
    </row>
    <row r="17" customFormat="false" ht="15" hidden="false" customHeight="true" outlineLevel="0" collapsed="false">
      <c r="A17" s="21" t="s">
        <v>129</v>
      </c>
      <c r="B17" s="25" t="n">
        <f aca="false">B12+B15</f>
        <v>29693.1698656577</v>
      </c>
      <c r="C17" s="25" t="n">
        <f aca="false">C12+C15</f>
        <v>34919.9241693609</v>
      </c>
      <c r="D17" s="25" t="n">
        <f aca="false">D12+D15</f>
        <v>40769.636586226</v>
      </c>
    </row>
    <row r="18" customFormat="false" ht="15" hidden="false" customHeight="true" outlineLevel="0" collapsed="false">
      <c r="A18" s="5" t="s">
        <v>130</v>
      </c>
      <c r="B18" s="25" t="n">
        <f aca="false">Input!$B$39</f>
        <v>23400</v>
      </c>
      <c r="C18" s="25" t="n">
        <f aca="false">Input!$B$39</f>
        <v>23400</v>
      </c>
      <c r="D18" s="25" t="n">
        <f aca="false">Input!$B$39</f>
        <v>23400</v>
      </c>
    </row>
    <row r="19" customFormat="false" ht="15" hidden="false" customHeight="true" outlineLevel="0" collapsed="false">
      <c r="A19" s="21" t="s">
        <v>131</v>
      </c>
      <c r="B19" s="33" t="n">
        <f aca="false">B18-B17</f>
        <v>-6293.1698656577</v>
      </c>
      <c r="C19" s="33" t="n">
        <f aca="false">C18-C17</f>
        <v>-11519.9241693609</v>
      </c>
      <c r="D19" s="33" t="n">
        <f aca="false">D18-D17</f>
        <v>-17369.636586226</v>
      </c>
    </row>
    <row r="20" customFormat="false" ht="15" hidden="false" customHeight="true" outlineLevel="0" collapsed="false">
      <c r="A20" s="5" t="s">
        <v>132</v>
      </c>
      <c r="B20" s="34" t="n">
        <f aca="false">IFERROR(B19/B18, 0)</f>
        <v>-0.268938883147765</v>
      </c>
      <c r="C20" s="34" t="n">
        <f aca="false">IFERROR(C19/C18, 0)</f>
        <v>-0.49230445168209</v>
      </c>
      <c r="D20" s="34" t="n">
        <f aca="false">IFERROR(D19/D18, 0)</f>
        <v>-0.742292161804531</v>
      </c>
    </row>
    <row r="21" customFormat="false" ht="15" hidden="false" customHeight="true" outlineLevel="0" collapsed="false">
      <c r="A21" s="5" t="s">
        <v>133</v>
      </c>
      <c r="B21" s="33" t="n">
        <f aca="false">B19*(1+B7)^Input!$B$36</f>
        <v>-10834.1412408293</v>
      </c>
      <c r="C21" s="33" t="n">
        <f aca="false">C19*(1+C7)^Input!$B$36</f>
        <v>-17809.5685747117</v>
      </c>
      <c r="D21" s="33" t="n">
        <f aca="false">D19*(1+D7)^Input!$B$36</f>
        <v>-24101.4771940065</v>
      </c>
    </row>
    <row r="22" customFormat="false" ht="15" hidden="false" customHeight="true" outlineLevel="0" collapsed="false">
      <c r="A22" s="21" t="s">
        <v>134</v>
      </c>
    </row>
    <row r="23" customFormat="false" ht="15" hidden="false" customHeight="true" outlineLevel="0" collapsed="false">
      <c r="A23" s="22" t="s">
        <v>135</v>
      </c>
      <c r="B23" s="22"/>
      <c r="C23" s="22"/>
      <c r="D23" s="22"/>
    </row>
    <row r="24" customFormat="false" ht="15" hidden="false" customHeight="true" outlineLevel="0" collapsed="false">
      <c r="A24" s="22" t="s">
        <v>136</v>
      </c>
      <c r="B24" s="22"/>
      <c r="C24" s="22"/>
      <c r="D24" s="22"/>
    </row>
    <row r="25" customFormat="false" ht="15" hidden="false" customHeight="true" outlineLevel="0" collapsed="false">
      <c r="A25" s="22" t="s">
        <v>137</v>
      </c>
      <c r="B25" s="22"/>
      <c r="C25" s="22"/>
      <c r="D25" s="22"/>
    </row>
    <row r="26" customFormat="false" ht="15" hidden="false" customHeight="true" outlineLevel="0" collapsed="false">
      <c r="A26" s="22" t="s">
        <v>138</v>
      </c>
      <c r="B26" s="22"/>
      <c r="C26" s="22"/>
      <c r="D26" s="22"/>
    </row>
    <row r="27" customFormat="false" ht="15" hidden="false" customHeight="true" outlineLevel="0" collapsed="false">
      <c r="A27" s="22" t="s">
        <v>139</v>
      </c>
      <c r="B27" s="22"/>
      <c r="C27" s="22"/>
      <c r="D27" s="22"/>
    </row>
    <row r="28" customFormat="false" ht="15" hidden="false" customHeight="true" outlineLevel="0" collapsed="false">
      <c r="A28" s="22" t="s">
        <v>140</v>
      </c>
      <c r="B28" s="22"/>
      <c r="C28" s="22"/>
      <c r="D28" s="22"/>
    </row>
  </sheetData>
  <mergeCells count="8">
    <mergeCell ref="A1:D1"/>
    <mergeCell ref="A2:D2"/>
    <mergeCell ref="A23:D23"/>
    <mergeCell ref="A24:D24"/>
    <mergeCell ref="A25:D25"/>
    <mergeCell ref="A26:D26"/>
    <mergeCell ref="A27:D27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2026-06-23T14:07:36Z</dcterms:created>
  <dc:creator>openpyxl</dc:creator>
  <dc:description/>
  <dc:language>en-US</dc:language>
  <cp:lastModifiedBy/>
  <dcterms:modified xsi:type="dcterms:W3CDTF">2026-06-25T18:18:34Z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