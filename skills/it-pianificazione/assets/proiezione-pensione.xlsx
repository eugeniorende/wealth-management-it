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" sheetId="1" state="visible" r:id="rId3"/>
    <sheet name="Coefficienti" sheetId="2" state="visible" r:id="rId4"/>
    <sheet name="Pubblica" sheetId="3" state="visible" r:id="rId5"/>
    <sheet name="Complementare" sheetId="4" state="visible" r:id="rId6"/>
    <sheet name="Scenari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<sst xmlns="http://schemas.openxmlformats.org/spreadsheetml/2006/main" count="190" uniqueCount="180">
  <si>
    <t xml:space="preserve">Proiezione pensionistica — Parametri di input</t>
  </si>
  <si>
    <t xml:space="preserve">Modifica le celle in BLU per personalizzare. Le formule (nero) si aggiornano automaticamente. Tutti gli importi sono in euro di oggi (valori reali).</t>
  </si>
  <si>
    <t xml:space="preserve">ANAGRAFICA E PROFILO</t>
  </si>
  <si>
    <t xml:space="preserve">Età corrente</t>
  </si>
  <si>
    <t xml:space="preserve">anni</t>
  </si>
  <si>
    <t xml:space="preserve">Età target pensionamento</t>
  </si>
  <si>
    <t xml:space="preserve">anni (range 57-71)</t>
  </si>
  <si>
    <t xml:space="preserve">Sesso</t>
  </si>
  <si>
    <t xml:space="preserve">M</t>
  </si>
  <si>
    <t xml:space="preserve">M / F</t>
  </si>
  <si>
    <t xml:space="preserve">LAVORO E REDDITO</t>
  </si>
  <si>
    <t xml:space="preserve">RAL lorda attuale</t>
  </si>
  <si>
    <t xml:space="preserve">€/anno</t>
  </si>
  <si>
    <t xml:space="preserve">Anzianità INPS corrente</t>
  </si>
  <si>
    <t xml:space="preserve">Crescita RAL reale annua</t>
  </si>
  <si>
    <t xml:space="preserve">es. 1,5% = 0,015</t>
  </si>
  <si>
    <t xml:space="preserve">Aliquota contribuzione dipendente</t>
  </si>
  <si>
    <t xml:space="preserve">fissa: 33% per lavoro dipendente</t>
  </si>
  <si>
    <t xml:space="preserve">Montante INPS da estratto conto</t>
  </si>
  <si>
    <t xml:space="preserve">€ ad oggi dal sito INPS; 0 = usa la stima</t>
  </si>
  <si>
    <t xml:space="preserve">MACROECONOMIA</t>
  </si>
  <si>
    <t xml:space="preserve">Rivalutazione PIL reale annua (montante INPS)</t>
  </si>
  <si>
    <t xml:space="preserve">PIL nominale per legge, meno l'inflazione: ~0,5% (come proiezione-inps.py)</t>
  </si>
  <si>
    <t xml:space="preserve">Inflazione attesa</t>
  </si>
  <si>
    <t xml:space="preserve">target BCE 2%; serve al TFR in azienda, alla tassa del fondo in uscita e alla riga 21 degli Scenari</t>
  </si>
  <si>
    <t xml:space="preserve">Decadimento coefficiente / biennio</t>
  </si>
  <si>
    <t xml:space="preserve">calo storico ~1,8% per biennio; 0 = congelato</t>
  </si>
  <si>
    <t xml:space="preserve">TFR</t>
  </si>
  <si>
    <t xml:space="preserve">TFR conferito a fondo (1=sì, 0=no)</t>
  </si>
  <si>
    <t xml:space="preserve">1 = conferito; 0 = in azienda</t>
  </si>
  <si>
    <t xml:space="preserve">Saldo TFR già accumulato</t>
  </si>
  <si>
    <t xml:space="preserve">€ ad oggi (in azienda o conferito)</t>
  </si>
  <si>
    <t xml:space="preserve">FONDO PENSIONE COMPLEMENTARE</t>
  </si>
  <si>
    <t xml:space="preserve">Montante fondo accumulato (escluso TFR)</t>
  </si>
  <si>
    <t xml:space="preserve">€ ad oggi</t>
  </si>
  <si>
    <t xml:space="preserve">Contributo volontario annuo</t>
  </si>
  <si>
    <t xml:space="preserve">€/anno; deduce nello spazio lasciato da datore e contributo dovuto (plafond B44)</t>
  </si>
  <si>
    <t xml:space="preserve">Contributo datore (% RAL)</t>
  </si>
  <si>
    <t xml:space="preserve">es. 1,5% per CCNL metalmeccanici</t>
  </si>
  <si>
    <t xml:space="preserve">Rendimento netto reale comparto</t>
  </si>
  <si>
    <t xml:space="preserve">al netto di costi, tassa del 20% e inflazione: bilanciato ~2,5% reale (come montecarlo-pensione.py)</t>
  </si>
  <si>
    <t xml:space="preserve">Anni di partecipazione correnti</t>
  </si>
  <si>
    <t xml:space="preserve">per calcolo aliquota finale 15→9%</t>
  </si>
  <si>
    <t xml:space="preserve">SPESE E OBIETTIVI</t>
  </si>
  <si>
    <t xml:space="preserve">Spesa mensile attuale</t>
  </si>
  <si>
    <t xml:space="preserve">€/mese</t>
  </si>
  <si>
    <t xml:space="preserve">Fattore riduzione spesa post-pensione</t>
  </si>
  <si>
    <t xml:space="preserve">tipico 0,75-0,85</t>
  </si>
  <si>
    <t xml:space="preserve">VALORI DERIVATI (formule)</t>
  </si>
  <si>
    <t xml:space="preserve">Anni residui al pensionamento</t>
  </si>
  <si>
    <t xml:space="preserve">calcolato</t>
  </si>
  <si>
    <t xml:space="preserve">Aliquota IRPEF marginale stimata</t>
  </si>
  <si>
    <t xml:space="preserve">scaglioni 2026</t>
  </si>
  <si>
    <t xml:space="preserve">Aliquota fondo finale al pensionamento</t>
  </si>
  <si>
    <t xml:space="preserve">15% → 9% (-0,30%/anno dopo il 15°)</t>
  </si>
  <si>
    <t xml:space="preserve">Spesa annua target (valori reali)</t>
  </si>
  <si>
    <t xml:space="preserve">spesa mensile × 12 × fattore</t>
  </si>
  <si>
    <t xml:space="preserve">Coefficiente proiettato al pensionamento</t>
  </si>
  <si>
    <t xml:space="preserve">coeff. attuale ridotto per i bienni mancanti</t>
  </si>
  <si>
    <t xml:space="preserve">PARAMETRI NORMATIVI 2026</t>
  </si>
  <si>
    <t xml:space="preserve">Massimale contributivo annuo</t>
  </si>
  <si>
    <t xml:space="preserve">Circ. INPS 6/2026; oltre non si versano contributi (iscritti dal 1996)</t>
  </si>
  <si>
    <t xml:space="preserve">Plafond deducibilità fondo pensione</t>
  </si>
  <si>
    <t xml:space="preserve">art. 8 c. 4 D.Lgs. 252/2005: lavoratore + datore, TFR escluso</t>
  </si>
  <si>
    <t xml:space="preserve">FONDO PENSIONE E TFR — DETTAGLI</t>
  </si>
  <si>
    <t xml:space="preserve">Contributo dovuto lavoratore (% RAL)</t>
  </si>
  <si>
    <t xml:space="preserve">minimo da CCNL per avere il contributo del datore (es. 1%); 0 se già nel volontario</t>
  </si>
  <si>
    <t xml:space="preserve">Anni di servizio già maturati (TFR)</t>
  </si>
  <si>
    <t xml:space="preserve">per la tassazione separata del TFR in azienda (reddito di riferimento)</t>
  </si>
  <si>
    <t xml:space="preserve">Rivalutazione netta reale del TFR in azienda</t>
  </si>
  <si>
    <t xml:space="preserve">1,5% + 75% dell'inflazione, meno l'imposta del 17%, in euro di oggi</t>
  </si>
  <si>
    <t xml:space="preserve">Coefficienti di trasformazione — biennio 2025-2026</t>
  </si>
  <si>
    <t xml:space="preserve">Fonte: Decreto direttoriale del 20 novembre 2024 (Min. Lavoro / MEF) — GU n. 35 del 12/02/2025</t>
  </si>
  <si>
    <t xml:space="preserve">Età</t>
  </si>
  <si>
    <t xml:space="preserve">Divisore</t>
  </si>
  <si>
    <t xml:space="preserve">Coefficiente</t>
  </si>
  <si>
    <t xml:space="preserve">NOTE OPERATIVE:</t>
  </si>
  <si>
    <t xml:space="preserve">1. Tasso di sconto del decreto: 1,5%. Questi valori valgono per pensioni con decorrenza 2025-2026.</t>
  </si>
  <si>
    <t xml:space="preserve">2. Età non intere: coefficiente(y, m) = coef(y) + (m/12) × (coef(y+1) - coef(y))</t>
  </si>
  <si>
    <t xml:space="preserve">3. I coefficienti CALANO ~1,5-2,2% per biennio (speranza di vita). Per pensioni future, il foglio</t>
  </si>
  <si>
    <t xml:space="preserve">   Input proietta il coefficiente in avanti tramite il 'Decadimento coefficiente / biennio'.</t>
  </si>
  <si>
    <t xml:space="preserve">4. Chi va in pensione tra molti anni avrà un coefficiente più basso di quelli in tabella: la</t>
  </si>
  <si>
    <t xml:space="preserve">   tabella è la base 2025-2026, la proiezione la riduce per i bienni mancanti.</t>
  </si>
  <si>
    <t xml:space="preserve">5. Per pensionati prossimi: verificare il coefficiente esatto sul sito INPS.</t>
  </si>
  <si>
    <t xml:space="preserve">Proiezione previdenza obbligatoria INPS</t>
  </si>
  <si>
    <t xml:space="preserve">Proiezione anno per anno del montante contributivo INPS, in euro di oggi (RAL reale, PIL reale). Il contributo dell'anno si rivaluta dall'anno successivo (L. 335/1995) e la retribuzione oltre il massimale non versa contributi. La pensione usa il coefficiente PROIETTATO all'anno di pensionamento (vedi foglio Input), non quello attuale.</t>
  </si>
  <si>
    <t xml:space="preserve">Anno offset</t>
  </si>
  <si>
    <t xml:space="preserve">RAL lorda</t>
  </si>
  <si>
    <t xml:space="preserve">Contributo (33%, fino al massimale)</t>
  </si>
  <si>
    <t xml:space="preserve">Montante inizio</t>
  </si>
  <si>
    <t xml:space="preserve">Rivalutazione</t>
  </si>
  <si>
    <t xml:space="preserve">Montante fine</t>
  </si>
  <si>
    <t xml:space="preserve">RISULTATI FINALI A PENSIONAMENTO</t>
  </si>
  <si>
    <t xml:space="preserve">Montante INPS finale al pensionamento</t>
  </si>
  <si>
    <t xml:space="preserve">Coefficiente ATTUALE 2025-2026 (riferimento)</t>
  </si>
  <si>
    <t xml:space="preserve">Coefficiente PROIETTATO al pensionamento (usato)</t>
  </si>
  <si>
    <t xml:space="preserve">Pensione lorda annua</t>
  </si>
  <si>
    <t xml:space="preserve">Pensione lorda mensile (13 mensilità)</t>
  </si>
  <si>
    <t xml:space="preserve">IRPEF lorda su pensione (scaglioni 2026)</t>
  </si>
  <si>
    <t xml:space="preserve">Detrazione pensionati (art. 13 c. 3 TUIR, dal 2027 art. 13 c. 3 D.Lgs. 117/2026)</t>
  </si>
  <si>
    <t xml:space="preserve">Addizionali regionali + comunali (~2%, se c'è IRPEF)</t>
  </si>
  <si>
    <t xml:space="preserve">Pensione NETTA annua</t>
  </si>
  <si>
    <t xml:space="preserve">Pensione NETTA mensile</t>
  </si>
  <si>
    <t xml:space="preserve">Tasso di sostituzione lordo (pens / RAL finale)</t>
  </si>
  <si>
    <t xml:space="preserve">Nota: il coefficiente proiettato è inferiore a quello attuale perché i coefficienti calano nel tempo (speranza di vita). Usare quello attuale per una pensione lontana SOVRASTIMA l'assegno.</t>
  </si>
  <si>
    <t xml:space="preserve">Proiezione previdenza complementare</t>
  </si>
  <si>
    <t xml:space="preserve">Proiezione anno per anno del fondo pensione in euro di oggi (TFR se conferito + contributi del lavoratore e del datore + rendimenti), con la quota deducibile e il confronto del TFR in azienda.</t>
  </si>
  <si>
    <t xml:space="preserve">TFR (6,91%)</t>
  </si>
  <si>
    <t xml:space="preserve">Contrib. lavoratore</t>
  </si>
  <si>
    <t xml:space="preserve">Contrib. datore</t>
  </si>
  <si>
    <t xml:space="preserve">Rendimento</t>
  </si>
  <si>
    <t xml:space="preserve">Quota deducibile volontario</t>
  </si>
  <si>
    <t xml:space="preserve">Non dedotto (da comunicare)</t>
  </si>
  <si>
    <t xml:space="preserve">Base tassabile in uscita (€ oggi)</t>
  </si>
  <si>
    <t xml:space="preserve">TFR in azienda: quota</t>
  </si>
  <si>
    <t xml:space="preserve">TFR in azienda: saldo</t>
  </si>
  <si>
    <t xml:space="preserve">TFR nel fondo: montante</t>
  </si>
  <si>
    <t xml:space="preserve">TFR: base tassabile (€ oggi)</t>
  </si>
  <si>
    <t xml:space="preserve">Montante fondo finale (lordo)</t>
  </si>
  <si>
    <t xml:space="preserve">Aliquota fondo finale (da Input)</t>
  </si>
  <si>
    <t xml:space="preserve">Tassazione finale (TFR e contributi dedotti × aliquota)</t>
  </si>
  <si>
    <t xml:space="preserve">Prestazione fondo NETTA</t>
  </si>
  <si>
    <t xml:space="preserve">Rendita annua stimata (~5,5% del netto)</t>
  </si>
  <si>
    <t xml:space="preserve">Rendita lorda mensile (13 mensilità)</t>
  </si>
  <si>
    <t xml:space="preserve">Risparmio IRPEF cumulato sui volontari (quota deducibile)</t>
  </si>
  <si>
    <t xml:space="preserve">NOTE:</t>
  </si>
  <si>
    <t xml:space="preserve">1. Contributo volontario costante in termini reali: tutto il foglio è in euro di oggi.</t>
  </si>
  <si>
    <t xml:space="preserve">2. Rendimento netto REALE del comparto: al netto dei costi, della tassa annua del 20% (12,5% titoli di Stato) e dell'inflazione.</t>
  </si>
  <si>
    <t xml:space="preserve">3. Aliquota finale 15% → 9% sui soli TFR e contributi dedotti: rendimenti già tassati e non dedotti comunicati sono esclusi (art. 11 c. 6 D.Lgs. 252/2005; dal 2027 art. 258 c. 4 D.Lgs. 117/2026). Il montante già accumulato è trattato come dedotto.</t>
  </si>
  <si>
    <t xml:space="preserve">4. Tasso conversione rendita 5,5%: vitalizia a 67 anni senza reversibilità.</t>
  </si>
  <si>
    <t xml:space="preserve">5. Risparmio IRPEF nominale non scontato, solo sulla quota deducibile dei volontari (colonna I).</t>
  </si>
  <si>
    <t xml:space="preserve">PLAFOND DI DEDUCIBILITÀ (art. 8 c. 4 D.Lgs. 252/2005)</t>
  </si>
  <si>
    <t xml:space="preserve">Spazio deducibile residuo per i volontari (primo anno)</t>
  </si>
  <si>
    <t xml:space="preserve">Non dedotto da comunicare al fondo (somma degli anni)</t>
  </si>
  <si>
    <t xml:space="preserve">Lo spazio residuo è un tetto fiscale, non un importo consigliato: dipende da liquidità e alternative. Non è consulenza.</t>
  </si>
  <si>
    <t xml:space="preserve">Ciò che supera il plafond va comunicato al fondo entro il 31/12 dell'anno dopo: senza comunicazione in uscita è tassato di nuovo (9-15% del non dedotto, 23% con anticipazioni non sanitarie o riscatti per altre cause).</t>
  </si>
  <si>
    <t xml:space="preserve">CONFRONTO TFR: IN AZIENDA O NEL FONDO (€ di oggi; TFR futuro, più il saldo solo se è già nel fondo: il maturato in azienda ci resta)</t>
  </si>
  <si>
    <t xml:space="preserve">TFR in azienda al pensionamento (lordo)</t>
  </si>
  <si>
    <t xml:space="preserve">Base della tassazione (quote, senza rivalutazioni)</t>
  </si>
  <si>
    <t xml:space="preserve">Reddito di riferimento (base × 12 / anni di servizio)</t>
  </si>
  <si>
    <t xml:space="preserve">Aliquota media della tassazione separata</t>
  </si>
  <si>
    <t xml:space="preserve">TFR in azienda NETTO</t>
  </si>
  <si>
    <t xml:space="preserve">TFR nel fondo al pensionamento (lordo)</t>
  </si>
  <si>
    <t xml:space="preserve">Imposta in uscita sul TFR nel fondo (15→9% sulle quote)</t>
  </si>
  <si>
    <t xml:space="preserve">TFR nel fondo NETTO</t>
  </si>
  <si>
    <t xml:space="preserve">Vantaggio netto del fondo sul TFR (fondo − azienda)</t>
  </si>
  <si>
    <t xml:space="preserve">Azienda: rivalutazione 1,5% + 75% dell'inflazione con imposta del 17%; tassazione separata all'aliquota media del reddito di riferimento (art. 2120 c.c., art. 19 TUIR; dal 2027 art. 21 D.Lgs. 117/2026), poi riliquidata sui 5 anni precedenti.</t>
  </si>
  <si>
    <t xml:space="preserve">Fondo: rendimento del comparto (Input B28) e 15%→9% sulle sole quote di TFR, non sui rendimenti già tassati (art. 11 c. 6 D.Lgs. 252/2005; dal 2027 art. 258 c. 4 D.Lgs. 117/2026). Il conferimento è irrevocabile e riguarda il TFR futuro: con il TFR ancora in azienda il blocco confronta le sole quote future.</t>
  </si>
  <si>
    <t xml:space="preserve">Illustrazione con le ipotesi del foglio: rischio di mercato e costi del fondo restano all'iscritto. Non è consulenza.</t>
  </si>
  <si>
    <t xml:space="preserve">Confronto scenari: conservativo / base / ottimistico</t>
  </si>
  <si>
    <t xml:space="preserve">Tutto in euro di oggi. Base coincide con i fogli Pubblica e Complementare; Conservativo e Ottimistico ricalcolano pensione INPS e fondo con i parametri della propria colonna.</t>
  </si>
  <si>
    <t xml:space="preserve">Voce</t>
  </si>
  <si>
    <t xml:space="preserve">Conservativo</t>
  </si>
  <si>
    <t xml:space="preserve">Base</t>
  </si>
  <si>
    <t xml:space="preserve">Ottimistico</t>
  </si>
  <si>
    <t xml:space="preserve">Crescita RAL annua reale</t>
  </si>
  <si>
    <t xml:space="preserve">Rivalutazione PIL reale annua</t>
  </si>
  <si>
    <t xml:space="preserve">Inflazione attesa (solo vista nominale, riga 21)</t>
  </si>
  <si>
    <t xml:space="preserve">Pensione INPS lorda annua</t>
  </si>
  <si>
    <t xml:space="preserve">Pensione INPS netta annua (IRPEF del foglio Pubblica)</t>
  </si>
  <si>
    <t xml:space="preserve">Montante fondo finale</t>
  </si>
  <si>
    <t xml:space="preserve">Prestazione fondo netta</t>
  </si>
  <si>
    <t xml:space="preserve">Rendita fondo annua (stima)</t>
  </si>
  <si>
    <t xml:space="preserve">TFR in azienda netto (capitale, fuori dalla rendita)</t>
  </si>
  <si>
    <t xml:space="preserve">Reddito pensione totale netto annuo</t>
  </si>
  <si>
    <t xml:space="preserve">Spesa target annua (€ di oggi)</t>
  </si>
  <si>
    <t xml:space="preserve">GAP (spesa target - reddito pensione)</t>
  </si>
  <si>
    <t xml:space="preserve">Gap % della spesa target</t>
  </si>
  <si>
    <t xml:space="preserve">GAP in € del pensionamento (inflazione dello scenario)</t>
  </si>
  <si>
    <t xml:space="preserve">INTERPRETAZIONE:</t>
  </si>
  <si>
    <t xml:space="preserve">• GAP &gt; 0: la pensione totale netta NON copre la spesa target → servono strategie</t>
  </si>
  <si>
    <t xml:space="preserve">• GAP &lt; 0: over-saving → margine per consumi extra o lascito</t>
  </si>
  <si>
    <t xml:space="preserve">• Tutto in euro di oggi: RAL e PIL reali, spesa target senza inflazione. Conservativo e ottimistico</t>
  </si>
  <si>
    <t xml:space="preserve">  ricalcolano INPS e fondo con la propria crescita RAL, PIL reale, decadimento e rendimento.</t>
  </si>
  <si>
    <t xml:space="preserve">• Fondo: montante, tassa in uscita (solo TFR e dedotti) e rendita col rendimento della colonna; il TFR in azienda (riga 16) è capitale, fuori dal gap: la riga 34 lo traduce in rendita equivalente per il confronto.</t>
  </si>
  <si>
    <t xml:space="preserve">• L'inflazione (riga 7) entra solo sulle basi imponibili nominali (TFR in azienda, base del fondo in uscita) e nella riga 21. Soglie fiscali (scaglioni, plafond €5.300) restano quelle di oggi in euro di oggi, come in netto-pensione.py: se la legge non le aggiorna, l'imposta reale cresce.</t>
  </si>
  <si>
    <t xml:space="preserve">CALCOLI DI SUPPORTO — TFR in azienda per scenario</t>
  </si>
  <si>
    <t xml:space="preserve">TFR in azienda lordo al pensionamento</t>
  </si>
  <si>
    <t xml:space="preserve">Base della tassazione separata</t>
  </si>
  <si>
    <t xml:space="preserve">TFR in azienda come rendita equivalente (5,5%, solo confronto, fuori dal gap)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</si>
</sst>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\€#,##0;&quot;(€&quot;#,##0\);\-"/>
    <numFmt numFmtId="167" formatCode="0.00%;\(0.00%\);\-"/>
    <numFmt numFmtId="168" formatCode="0.000%"/>
    <numFmt numFmtId="169" formatCode="0.000"/>
    <numFmt numFmtId="170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9E1F2"/>
      </patternFill>
    </fill>
    <fill>
      <patternFill patternType="solid">
        <fgColor rgb="FFFFF2CC"/>
        <bgColor rgb="FFE7E6E6"/>
      </patternFill>
    </fill>
    <fill>
      <patternFill patternType="solid">
        <fgColor rgb="FF4472C4"/>
        <bgColor rgb="FF666666"/>
      </patternFill>
    </fill>
    <fill>
      <patternFill patternType="solid">
        <fgColor rgb="FFD9E1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7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11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7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44"/>
  </cols>
  <sheetData>
    <row r="1" customFormat="false" ht="17.25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3" t="s">
        <v>1</v>
      </c>
      <c r="B2" s="3"/>
      <c r="C2" s="3"/>
    </row>
    <row r="4" customFormat="false" ht="15" hidden="false" customHeight="true" outlineLevel="0" collapsed="false">
      <c r="A4" s="4" t="s">
        <v>2</v>
      </c>
      <c r="B4" s="4"/>
      <c r="C4" s="4"/>
    </row>
    <row r="5" customFormat="false" ht="15" hidden="false" customHeight="true" outlineLevel="0" collapsed="false">
      <c r="A5" s="5" t="s">
        <v>3</v>
      </c>
      <c r="B5" s="6" t="n">
        <v>45</v>
      </c>
      <c r="C5" s="7" t="s">
        <v>4</v>
      </c>
    </row>
    <row r="6" customFormat="false" ht="15" hidden="false" customHeight="true" outlineLevel="0" collapsed="false">
      <c r="A6" s="5" t="s">
        <v>5</v>
      </c>
      <c r="B6" s="6" t="n">
        <v>67</v>
      </c>
      <c r="C6" s="7" t="s">
        <v>6</v>
      </c>
    </row>
    <row r="7" customFormat="false" ht="15" hidden="false" customHeight="true" outlineLevel="0" collapsed="false">
      <c r="A7" s="5" t="s">
        <v>7</v>
      </c>
      <c r="B7" s="8" t="s">
        <v>8</v>
      </c>
      <c r="C7" s="7" t="s">
        <v>9</v>
      </c>
    </row>
    <row r="9" customFormat="false" ht="15" hidden="false" customHeight="true" outlineLevel="0" collapsed="false">
      <c r="A9" s="4" t="s">
        <v>10</v>
      </c>
      <c r="B9" s="4"/>
      <c r="C9" s="4"/>
    </row>
    <row r="10" customFormat="false" ht="15" hidden="false" customHeight="true" outlineLevel="0" collapsed="false">
      <c r="A10" s="5" t="s">
        <v>11</v>
      </c>
      <c r="B10" s="9" t="n">
        <v>45000</v>
      </c>
      <c r="C10" s="7" t="s">
        <v>12</v>
      </c>
    </row>
    <row r="11" customFormat="false" ht="15" hidden="false" customHeight="true" outlineLevel="0" collapsed="false">
      <c r="A11" s="5" t="s">
        <v>13</v>
      </c>
      <c r="B11" s="6" t="n">
        <v>18</v>
      </c>
      <c r="C11" s="7" t="s">
        <v>4</v>
      </c>
    </row>
    <row r="12" customFormat="false" ht="15" hidden="false" customHeight="true" outlineLevel="0" collapsed="false">
      <c r="A12" s="5" t="s">
        <v>14</v>
      </c>
      <c r="B12" s="10" t="n">
        <v>0.015</v>
      </c>
      <c r="C12" s="7" t="s">
        <v>15</v>
      </c>
    </row>
    <row r="13" customFormat="false" ht="15" hidden="false" customHeight="true" outlineLevel="0" collapsed="false">
      <c r="A13" s="5" t="s">
        <v>16</v>
      </c>
      <c r="B13" s="11" t="n">
        <v>0.33</v>
      </c>
      <c r="C13" s="7" t="s">
        <v>17</v>
      </c>
    </row>
    <row r="14" customFormat="false" ht="15" hidden="false" customHeight="false" outlineLevel="0" collapsed="false">
      <c r="A14" s="5" t="s">
        <v>18</v>
      </c>
      <c r="B14" s="12" t="n">
        <v>0</v>
      </c>
      <c r="C14" s="7" t="s">
        <v>19</v>
      </c>
    </row>
    <row r="15" customFormat="false" ht="15" hidden="false" customHeight="true" outlineLevel="0" collapsed="false">
      <c r="A15" s="4" t="s">
        <v>20</v>
      </c>
      <c r="B15" s="4"/>
      <c r="C15" s="4"/>
    </row>
    <row r="16" customFormat="false" ht="15" hidden="false" customHeight="true" outlineLevel="0" collapsed="false">
      <c r="A16" s="5" t="s">
        <v>21</v>
      </c>
      <c r="B16" s="10" t="n">
        <v>0.005</v>
      </c>
      <c r="C16" s="7" t="s">
        <v>22</v>
      </c>
    </row>
    <row r="17" customFormat="false" ht="15" hidden="false" customHeight="true" outlineLevel="0" collapsed="false">
      <c r="A17" s="5" t="s">
        <v>23</v>
      </c>
      <c r="B17" s="10" t="n">
        <v>0.02</v>
      </c>
      <c r="C17" s="7" t="s">
        <v>24</v>
      </c>
    </row>
    <row r="18" customFormat="false" ht="15" hidden="false" customHeight="true" outlineLevel="0" collapsed="false">
      <c r="A18" s="5" t="s">
        <v>25</v>
      </c>
      <c r="B18" s="13" t="n">
        <v>0.018</v>
      </c>
      <c r="C18" s="7" t="s">
        <v>26</v>
      </c>
    </row>
    <row r="20" customFormat="false" ht="15" hidden="false" customHeight="true" outlineLevel="0" collapsed="false">
      <c r="A20" s="4" t="s">
        <v>27</v>
      </c>
      <c r="B20" s="4"/>
      <c r="C20" s="4"/>
    </row>
    <row r="21" customFormat="false" ht="15" hidden="false" customHeight="true" outlineLevel="0" collapsed="false">
      <c r="A21" s="5" t="s">
        <v>28</v>
      </c>
      <c r="B21" s="6" t="n">
        <v>1</v>
      </c>
      <c r="C21" s="7" t="s">
        <v>29</v>
      </c>
    </row>
    <row r="22" customFormat="false" ht="15" hidden="false" customHeight="true" outlineLevel="0" collapsed="false">
      <c r="A22" s="5" t="s">
        <v>30</v>
      </c>
      <c r="B22" s="9" t="n">
        <v>8000</v>
      </c>
      <c r="C22" s="7" t="s">
        <v>31</v>
      </c>
    </row>
    <row r="24" customFormat="false" ht="15" hidden="false" customHeight="true" outlineLevel="0" collapsed="false">
      <c r="A24" s="4" t="s">
        <v>32</v>
      </c>
      <c r="B24" s="4"/>
      <c r="C24" s="4"/>
    </row>
    <row r="25" customFormat="false" ht="15" hidden="false" customHeight="true" outlineLevel="0" collapsed="false">
      <c r="A25" s="5" t="s">
        <v>33</v>
      </c>
      <c r="B25" s="9" t="n">
        <v>5000</v>
      </c>
      <c r="C25" s="7" t="s">
        <v>34</v>
      </c>
    </row>
    <row r="26" customFormat="false" ht="15" hidden="false" customHeight="true" outlineLevel="0" collapsed="false">
      <c r="A26" s="5" t="s">
        <v>35</v>
      </c>
      <c r="B26" s="9" t="n">
        <v>2000</v>
      </c>
      <c r="C26" s="7" t="s">
        <v>36</v>
      </c>
    </row>
    <row r="27" customFormat="false" ht="15" hidden="false" customHeight="true" outlineLevel="0" collapsed="false">
      <c r="A27" s="5" t="s">
        <v>37</v>
      </c>
      <c r="B27" s="10" t="n">
        <v>0.015</v>
      </c>
      <c r="C27" s="7" t="s">
        <v>38</v>
      </c>
    </row>
    <row r="28" customFormat="false" ht="15" hidden="false" customHeight="true" outlineLevel="0" collapsed="false">
      <c r="A28" s="5" t="s">
        <v>39</v>
      </c>
      <c r="B28" s="10" t="n">
        <v>0.025</v>
      </c>
      <c r="C28" s="7" t="s">
        <v>40</v>
      </c>
    </row>
    <row r="29" customFormat="false" ht="15" hidden="false" customHeight="true" outlineLevel="0" collapsed="false">
      <c r="A29" s="5" t="s">
        <v>41</v>
      </c>
      <c r="B29" s="6" t="n">
        <v>5</v>
      </c>
      <c r="C29" s="7" t="s">
        <v>42</v>
      </c>
    </row>
    <row r="31" customFormat="false" ht="15" hidden="false" customHeight="true" outlineLevel="0" collapsed="false">
      <c r="A31" s="4" t="s">
        <v>43</v>
      </c>
      <c r="B31" s="4"/>
      <c r="C31" s="4"/>
    </row>
    <row r="32" customFormat="false" ht="15" hidden="false" customHeight="true" outlineLevel="0" collapsed="false">
      <c r="A32" s="5" t="s">
        <v>44</v>
      </c>
      <c r="B32" s="9" t="n">
        <v>2500</v>
      </c>
      <c r="C32" s="7" t="s">
        <v>45</v>
      </c>
    </row>
    <row r="33" customFormat="false" ht="15" hidden="false" customHeight="true" outlineLevel="0" collapsed="false">
      <c r="A33" s="5" t="s">
        <v>46</v>
      </c>
      <c r="B33" s="10" t="n">
        <v>0.78</v>
      </c>
      <c r="C33" s="7" t="s">
        <v>47</v>
      </c>
    </row>
    <row r="35" customFormat="false" ht="15" hidden="false" customHeight="true" outlineLevel="0" collapsed="false">
      <c r="A35" s="4" t="s">
        <v>48</v>
      </c>
      <c r="B35" s="4"/>
      <c r="C35" s="4"/>
    </row>
    <row r="36" customFormat="false" ht="15" hidden="false" customHeight="true" outlineLevel="0" collapsed="false">
      <c r="A36" s="5" t="s">
        <v>49</v>
      </c>
      <c r="B36" s="14" t="n">
        <f aca="false">Input!$B$6-Input!$B$5</f>
        <v>22</v>
      </c>
      <c r="C36" s="7" t="s">
        <v>50</v>
      </c>
    </row>
    <row r="37" customFormat="false" ht="15" hidden="false" customHeight="true" outlineLevel="0" collapsed="false">
      <c r="A37" s="5" t="s">
        <v>51</v>
      </c>
      <c r="B37" s="11" t="n">
        <f aca="false">IF(Input!$B$10&lt;=28000, 0.23, IF(Input!$B$10&lt;=50000, 0.33, 0.43))</f>
        <v>0.33</v>
      </c>
      <c r="C37" s="7" t="s">
        <v>52</v>
      </c>
    </row>
    <row r="38" customFormat="false" ht="15" hidden="false" customHeight="true" outlineLevel="0" collapsed="false">
      <c r="A38" s="5" t="s">
        <v>53</v>
      </c>
      <c r="B38" s="11" t="n">
        <f aca="false">MAX(0.09, 0.15 - 0.003 * MAX(0, (Input!$B$29+Input!$B$36) - 15))</f>
        <v>0.114</v>
      </c>
      <c r="C38" s="7" t="s">
        <v>54</v>
      </c>
    </row>
    <row r="39" customFormat="false" ht="15" hidden="false" customHeight="true" outlineLevel="0" collapsed="false">
      <c r="A39" s="5" t="s">
        <v>55</v>
      </c>
      <c r="B39" s="15" t="n">
        <f aca="false">Input!$B$32*12*Input!$B$33</f>
        <v>23400</v>
      </c>
      <c r="C39" s="7" t="s">
        <v>56</v>
      </c>
    </row>
    <row r="40" customFormat="false" ht="15" hidden="false" customHeight="true" outlineLevel="0" collapsed="false">
      <c r="A40" s="5" t="s">
        <v>57</v>
      </c>
      <c r="B40" s="16" t="n">
        <f aca="false">VLOOKUP(Input!$B$6, Coefficienti!A5:C19, 3, FALSE())*(1-Input!$B$18)^(Input!$B$36/2)</f>
        <v>0.0459234355786974</v>
      </c>
      <c r="C40" s="7" t="s">
        <v>58</v>
      </c>
    </row>
    <row r="42" customFormat="false" ht="15" hidden="false" customHeight="true" outlineLevel="0" collapsed="false">
      <c r="A42" s="4" t="s">
        <v>59</v>
      </c>
      <c r="B42" s="4"/>
      <c r="C42" s="4"/>
    </row>
    <row r="43" customFormat="false" ht="15" hidden="false" customHeight="true" outlineLevel="0" collapsed="false">
      <c r="A43" s="5" t="s">
        <v>60</v>
      </c>
      <c r="B43" s="9" t="n">
        <v>122295</v>
      </c>
      <c r="C43" s="7" t="s">
        <v>61</v>
      </c>
    </row>
    <row r="44" customFormat="false" ht="15" hidden="false" customHeight="true" outlineLevel="0" collapsed="false">
      <c r="A44" s="5" t="s">
        <v>62</v>
      </c>
      <c r="B44" s="9" t="n">
        <v>5300</v>
      </c>
      <c r="C44" s="7" t="s">
        <v>63</v>
      </c>
    </row>
    <row r="46" customFormat="false" ht="15" hidden="false" customHeight="true" outlineLevel="0" collapsed="false">
      <c r="A46" s="4" t="s">
        <v>64</v>
      </c>
      <c r="B46" s="4"/>
      <c r="C46" s="4"/>
    </row>
    <row r="47" customFormat="false" ht="15" hidden="false" customHeight="true" outlineLevel="0" collapsed="false">
      <c r="A47" s="5" t="s">
        <v>65</v>
      </c>
      <c r="B47" s="10" t="n">
        <v>0</v>
      </c>
      <c r="C47" s="7" t="s">
        <v>66</v>
      </c>
    </row>
    <row r="48" customFormat="false" ht="15" hidden="false" customHeight="true" outlineLevel="0" collapsed="false">
      <c r="A48" s="5" t="s">
        <v>67</v>
      </c>
      <c r="B48" s="6" t="n">
        <v>3</v>
      </c>
      <c r="C48" s="7" t="s">
        <v>68</v>
      </c>
    </row>
    <row r="49" customFormat="false" ht="15" hidden="false" customHeight="true" outlineLevel="0" collapsed="false">
      <c r="A49" s="5" t="s">
        <v>69</v>
      </c>
      <c r="B49" s="11" t="n">
        <f aca="false">(1+(0.015+0.75*Input!$B$17)*(1-0.17))/(1+Input!$B$17)-1</f>
        <v>0.0048039215686273</v>
      </c>
      <c r="C49" s="7" t="s">
        <v>70</v>
      </c>
    </row>
  </sheetData>
  <mergeCells count="11">
    <mergeCell ref="A1:C1"/>
    <mergeCell ref="A2:C2"/>
    <mergeCell ref="A4:C4"/>
    <mergeCell ref="A9:C9"/>
    <mergeCell ref="A15:C15"/>
    <mergeCell ref="A20:C20"/>
    <mergeCell ref="A24:C24"/>
    <mergeCell ref="A31:C31"/>
    <mergeCell ref="A35:C35"/>
    <mergeCell ref="A42:C42"/>
    <mergeCell ref="A46:C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4"/>
  </cols>
  <sheetData>
    <row r="1" customFormat="false" ht="17.25" hidden="false" customHeight="true" outlineLevel="0" collapsed="false">
      <c r="A1" s="2" t="s">
        <v>71</v>
      </c>
      <c r="B1" s="2"/>
      <c r="C1" s="2"/>
    </row>
    <row r="2" customFormat="false" ht="15" hidden="false" customHeight="true" outlineLevel="0" collapsed="false">
      <c r="A2" s="3" t="s">
        <v>72</v>
      </c>
      <c r="B2" s="3"/>
      <c r="C2" s="3"/>
    </row>
    <row r="4" customFormat="false" ht="15" hidden="false" customHeight="true" outlineLevel="0" collapsed="false">
      <c r="A4" s="17" t="s">
        <v>73</v>
      </c>
      <c r="B4" s="17" t="s">
        <v>74</v>
      </c>
      <c r="C4" s="17" t="s">
        <v>75</v>
      </c>
    </row>
    <row r="5" customFormat="false" ht="15" hidden="false" customHeight="true" outlineLevel="0" collapsed="false">
      <c r="A5" s="18" t="n">
        <v>57</v>
      </c>
      <c r="B5" s="19" t="n">
        <v>23.789</v>
      </c>
      <c r="C5" s="20" t="n">
        <v>0.04204</v>
      </c>
    </row>
    <row r="6" customFormat="false" ht="15" hidden="false" customHeight="true" outlineLevel="0" collapsed="false">
      <c r="A6" s="18" t="n">
        <v>58</v>
      </c>
      <c r="B6" s="19" t="n">
        <v>23.213</v>
      </c>
      <c r="C6" s="20" t="n">
        <v>0.04308</v>
      </c>
    </row>
    <row r="7" customFormat="false" ht="15" hidden="false" customHeight="true" outlineLevel="0" collapsed="false">
      <c r="A7" s="18" t="n">
        <v>59</v>
      </c>
      <c r="B7" s="19" t="n">
        <v>22.631</v>
      </c>
      <c r="C7" s="20" t="n">
        <v>0.04419</v>
      </c>
    </row>
    <row r="8" customFormat="false" ht="15" hidden="false" customHeight="true" outlineLevel="0" collapsed="false">
      <c r="A8" s="18" t="n">
        <v>60</v>
      </c>
      <c r="B8" s="19" t="n">
        <v>22.044</v>
      </c>
      <c r="C8" s="20" t="n">
        <v>0.04536</v>
      </c>
    </row>
    <row r="9" customFormat="false" ht="15" hidden="false" customHeight="true" outlineLevel="0" collapsed="false">
      <c r="A9" s="18" t="n">
        <v>61</v>
      </c>
      <c r="B9" s="19" t="n">
        <v>21.453</v>
      </c>
      <c r="C9" s="20" t="n">
        <v>0.04661</v>
      </c>
    </row>
    <row r="10" customFormat="false" ht="15" hidden="false" customHeight="true" outlineLevel="0" collapsed="false">
      <c r="A10" s="18" t="n">
        <v>62</v>
      </c>
      <c r="B10" s="19" t="n">
        <v>20.857</v>
      </c>
      <c r="C10" s="20" t="n">
        <v>0.04795</v>
      </c>
    </row>
    <row r="11" customFormat="false" ht="15" hidden="false" customHeight="true" outlineLevel="0" collapsed="false">
      <c r="A11" s="18" t="n">
        <v>63</v>
      </c>
      <c r="B11" s="19" t="n">
        <v>20.258</v>
      </c>
      <c r="C11" s="20" t="n">
        <v>0.04936</v>
      </c>
    </row>
    <row r="12" customFormat="false" ht="15" hidden="false" customHeight="true" outlineLevel="0" collapsed="false">
      <c r="A12" s="18" t="n">
        <v>64</v>
      </c>
      <c r="B12" s="19" t="n">
        <v>19.656</v>
      </c>
      <c r="C12" s="20" t="n">
        <v>0.05088</v>
      </c>
    </row>
    <row r="13" customFormat="false" ht="15" hidden="false" customHeight="true" outlineLevel="0" collapsed="false">
      <c r="A13" s="18" t="n">
        <v>65</v>
      </c>
      <c r="B13" s="19" t="n">
        <v>19.049</v>
      </c>
      <c r="C13" s="20" t="n">
        <v>0.0525</v>
      </c>
    </row>
    <row r="14" customFormat="false" ht="15" hidden="false" customHeight="true" outlineLevel="0" collapsed="false">
      <c r="A14" s="18" t="n">
        <v>66</v>
      </c>
      <c r="B14" s="19" t="n">
        <v>18.441</v>
      </c>
      <c r="C14" s="20" t="n">
        <v>0.05423</v>
      </c>
    </row>
    <row r="15" customFormat="false" ht="15" hidden="false" customHeight="true" outlineLevel="0" collapsed="false">
      <c r="A15" s="18" t="n">
        <v>67</v>
      </c>
      <c r="B15" s="19" t="n">
        <v>17.831</v>
      </c>
      <c r="C15" s="20" t="n">
        <v>0.05608</v>
      </c>
    </row>
    <row r="16" customFormat="false" ht="15" hidden="false" customHeight="true" outlineLevel="0" collapsed="false">
      <c r="A16" s="18" t="n">
        <v>68</v>
      </c>
      <c r="B16" s="19" t="n">
        <v>17.218</v>
      </c>
      <c r="C16" s="20" t="n">
        <v>0.05808</v>
      </c>
    </row>
    <row r="17" customFormat="false" ht="15" hidden="false" customHeight="true" outlineLevel="0" collapsed="false">
      <c r="A17" s="18" t="n">
        <v>69</v>
      </c>
      <c r="B17" s="19" t="n">
        <v>16.6</v>
      </c>
      <c r="C17" s="20" t="n">
        <v>0.06024</v>
      </c>
    </row>
    <row r="18" customFormat="false" ht="15" hidden="false" customHeight="true" outlineLevel="0" collapsed="false">
      <c r="A18" s="18" t="n">
        <v>70</v>
      </c>
      <c r="B18" s="19" t="n">
        <v>15.98</v>
      </c>
      <c r="C18" s="20" t="n">
        <v>0.06258</v>
      </c>
    </row>
    <row r="19" customFormat="false" ht="15" hidden="false" customHeight="true" outlineLevel="0" collapsed="false">
      <c r="A19" s="18" t="n">
        <v>71</v>
      </c>
      <c r="B19" s="19" t="n">
        <v>15.36</v>
      </c>
      <c r="C19" s="20" t="n">
        <v>0.0651</v>
      </c>
    </row>
    <row r="22" customFormat="false" ht="15" hidden="false" customHeight="true" outlineLevel="0" collapsed="false">
      <c r="A22" s="21" t="s">
        <v>76</v>
      </c>
    </row>
    <row r="23" customFormat="false" ht="15" hidden="false" customHeight="true" outlineLevel="0" collapsed="false">
      <c r="A23" s="22" t="s">
        <v>77</v>
      </c>
      <c r="B23" s="22"/>
      <c r="C23" s="22"/>
      <c r="D23" s="22"/>
    </row>
    <row r="24" customFormat="false" ht="15" hidden="false" customHeight="true" outlineLevel="0" collapsed="false">
      <c r="A24" s="22" t="s">
        <v>78</v>
      </c>
      <c r="B24" s="22"/>
      <c r="C24" s="22"/>
      <c r="D24" s="22"/>
    </row>
    <row r="25" customFormat="false" ht="15" hidden="false" customHeight="true" outlineLevel="0" collapsed="false">
      <c r="A25" s="22" t="s">
        <v>79</v>
      </c>
      <c r="B25" s="22"/>
      <c r="C25" s="22"/>
      <c r="D25" s="22"/>
    </row>
    <row r="26" customFormat="false" ht="15" hidden="false" customHeight="true" outlineLevel="0" collapsed="false">
      <c r="A26" s="22" t="s">
        <v>80</v>
      </c>
      <c r="B26" s="22"/>
      <c r="C26" s="22"/>
      <c r="D26" s="22"/>
    </row>
    <row r="27" customFormat="false" ht="15" hidden="false" customHeight="true" outlineLevel="0" collapsed="false">
      <c r="A27" s="22" t="s">
        <v>81</v>
      </c>
      <c r="B27" s="22"/>
      <c r="C27" s="22"/>
      <c r="D27" s="22"/>
    </row>
    <row r="28" customFormat="false" ht="15" hidden="false" customHeight="true" outlineLevel="0" collapsed="false">
      <c r="A28" s="22" t="s">
        <v>82</v>
      </c>
      <c r="B28" s="22"/>
      <c r="C28" s="22"/>
      <c r="D28" s="22"/>
    </row>
    <row r="29" customFormat="false" ht="15" hidden="false" customHeight="true" outlineLevel="0" collapsed="false">
      <c r="A29" s="22" t="s">
        <v>83</v>
      </c>
      <c r="B29" s="22"/>
      <c r="C29" s="22"/>
      <c r="D29" s="22"/>
    </row>
  </sheetData>
  <mergeCells count="9">
    <mergeCell ref="A1:C1"/>
    <mergeCell ref="A2:C2"/>
    <mergeCell ref="A23:D23"/>
    <mergeCell ref="A24:D24"/>
    <mergeCell ref="A25:D25"/>
    <mergeCell ref="A26:D26"/>
    <mergeCell ref="A27:D27"/>
    <mergeCell ref="A28:D28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4"/>
    <col collapsed="false" customWidth="true" hidden="false" outlineLevel="0" max="7" min="3" style="1" width="16"/>
  </cols>
  <sheetData>
    <row r="1" customFormat="false" ht="17.25" hidden="false" customHeight="true" outlineLevel="0" collapsed="false">
      <c r="A1" s="2" t="s">
        <v>84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85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17" t="s">
        <v>86</v>
      </c>
      <c r="B4" s="17" t="s">
        <v>73</v>
      </c>
      <c r="C4" s="17" t="s">
        <v>87</v>
      </c>
      <c r="D4" s="17" t="s">
        <v>88</v>
      </c>
      <c r="E4" s="17" t="s">
        <v>89</v>
      </c>
      <c r="F4" s="17" t="s">
        <v>90</v>
      </c>
      <c r="G4" s="17" t="s">
        <v>91</v>
      </c>
    </row>
    <row r="5" customFormat="false" ht="15" hidden="false" customHeight="true" outlineLevel="0" collapsed="false">
      <c r="A5" s="23" t="n">
        <v>0</v>
      </c>
      <c r="B5" s="24" t="n">
        <f aca="false">Input!$B$5+A5</f>
        <v>45</v>
      </c>
      <c r="C5" s="25" t="n">
        <f aca="false">IF(B5&lt;Input!$B$6, Input!$B$10*(1+Input!$B$12)^A5, 0)</f>
        <v>45000</v>
      </c>
      <c r="D5" s="25" t="n">
        <f aca="false">MIN(C5,Input!$B$43)*Input!$B$13</f>
        <v>14850</v>
      </c>
      <c r="E5" s="26" t="n">
        <f aca="false">IF(Input!$B$14&gt;0,Input!$B$14,Input!$B$13*SUMPRODUCT((Pubblica!$A$5:$A$54+1&lt;=Input!$B$11)*((Input!$B$10*(1+Input!$B$12)^-(Pubblica!$A$5:$A$54+1)+Input!$B$43-ABS(Input!$B$10*(1+Input!$B$12)^-(Pubblica!$A$5:$A$54+1)-Input!$B$43))/2)*(1+Input!$B$16)^Pubblica!$A$5:$A$54))</f>
        <v>242413.002599768</v>
      </c>
      <c r="F5" s="25" t="n">
        <f aca="false">E5*Input!$B$16</f>
        <v>1212.06501299884</v>
      </c>
      <c r="G5" s="25" t="n">
        <f aca="false">IF(B5&lt;Input!$B$6, E5+D5+F5, E5)</f>
        <v>258475.067612767</v>
      </c>
    </row>
    <row r="6" customFormat="false" ht="15" hidden="false" customHeight="true" outlineLevel="0" collapsed="false">
      <c r="A6" s="23" t="n">
        <v>1</v>
      </c>
      <c r="B6" s="24" t="n">
        <f aca="false">Input!$B$5+A6</f>
        <v>46</v>
      </c>
      <c r="C6" s="25" t="n">
        <f aca="false">IF(B6&lt;Input!$B$6, Input!$B$10*(1+Input!$B$12)^A6, 0)</f>
        <v>45675</v>
      </c>
      <c r="D6" s="25" t="n">
        <f aca="false">MIN(C6,Input!$B$43)*Input!$B$13</f>
        <v>15072.75</v>
      </c>
      <c r="E6" s="25" t="n">
        <f aca="false">G5</f>
        <v>258475.067612767</v>
      </c>
      <c r="F6" s="25" t="n">
        <f aca="false">E6*Input!$B$16</f>
        <v>1292.37533806384</v>
      </c>
      <c r="G6" s="25" t="n">
        <f aca="false">IF(B6&lt;Input!$B$6, E6+D6+F6, E6)</f>
        <v>274840.192950831</v>
      </c>
    </row>
    <row r="7" customFormat="false" ht="15" hidden="false" customHeight="true" outlineLevel="0" collapsed="false">
      <c r="A7" s="23" t="n">
        <v>2</v>
      </c>
      <c r="B7" s="24" t="n">
        <f aca="false">Input!$B$5+A7</f>
        <v>47</v>
      </c>
      <c r="C7" s="25" t="n">
        <f aca="false">IF(B7&lt;Input!$B$6, Input!$B$10*(1+Input!$B$12)^A7, 0)</f>
        <v>46360.125</v>
      </c>
      <c r="D7" s="25" t="n">
        <f aca="false">MIN(C7,Input!$B$43)*Input!$B$13</f>
        <v>15298.84125</v>
      </c>
      <c r="E7" s="25" t="n">
        <f aca="false">G6</f>
        <v>274840.192950831</v>
      </c>
      <c r="F7" s="25" t="n">
        <f aca="false">E7*Input!$B$16</f>
        <v>1374.20096475416</v>
      </c>
      <c r="G7" s="25" t="n">
        <f aca="false">IF(B7&lt;Input!$B$6, E7+D7+F7, E7)</f>
        <v>291513.235165585</v>
      </c>
    </row>
    <row r="8" customFormat="false" ht="15" hidden="false" customHeight="true" outlineLevel="0" collapsed="false">
      <c r="A8" s="23" t="n">
        <v>3</v>
      </c>
      <c r="B8" s="24" t="n">
        <f aca="false">Input!$B$5+A8</f>
        <v>48</v>
      </c>
      <c r="C8" s="25" t="n">
        <f aca="false">IF(B8&lt;Input!$B$6, Input!$B$10*(1+Input!$B$12)^A8, 0)</f>
        <v>47055.526875</v>
      </c>
      <c r="D8" s="25" t="n">
        <f aca="false">MIN(C8,Input!$B$43)*Input!$B$13</f>
        <v>15528.32386875</v>
      </c>
      <c r="E8" s="25" t="n">
        <f aca="false">G7</f>
        <v>291513.235165585</v>
      </c>
      <c r="F8" s="25" t="n">
        <f aca="false">E8*Input!$B$16</f>
        <v>1457.56617582793</v>
      </c>
      <c r="G8" s="25" t="n">
        <f aca="false">IF(B8&lt;Input!$B$6, E8+D8+F8, E8)</f>
        <v>308499.125210163</v>
      </c>
    </row>
    <row r="9" customFormat="false" ht="15" hidden="false" customHeight="true" outlineLevel="0" collapsed="false">
      <c r="A9" s="23" t="n">
        <v>4</v>
      </c>
      <c r="B9" s="24" t="n">
        <f aca="false">Input!$B$5+A9</f>
        <v>49</v>
      </c>
      <c r="C9" s="25" t="n">
        <f aca="false">IF(B9&lt;Input!$B$6, Input!$B$10*(1+Input!$B$12)^A9, 0)</f>
        <v>47761.359778125</v>
      </c>
      <c r="D9" s="25" t="n">
        <f aca="false">MIN(C9,Input!$B$43)*Input!$B$13</f>
        <v>15761.2487267812</v>
      </c>
      <c r="E9" s="25" t="n">
        <f aca="false">G8</f>
        <v>308499.125210163</v>
      </c>
      <c r="F9" s="25" t="n">
        <f aca="false">E9*Input!$B$16</f>
        <v>1542.49562605082</v>
      </c>
      <c r="G9" s="25" t="n">
        <f aca="false">IF(B9&lt;Input!$B$6, E9+D9+F9, E9)</f>
        <v>325802.869562995</v>
      </c>
    </row>
    <row r="10" customFormat="false" ht="15" hidden="false" customHeight="true" outlineLevel="0" collapsed="false">
      <c r="A10" s="23" t="n">
        <v>5</v>
      </c>
      <c r="B10" s="24" t="n">
        <f aca="false">Input!$B$5+A10</f>
        <v>50</v>
      </c>
      <c r="C10" s="25" t="n">
        <f aca="false">IF(B10&lt;Input!$B$6, Input!$B$10*(1+Input!$B$12)^A10, 0)</f>
        <v>48477.7801747969</v>
      </c>
      <c r="D10" s="25" t="n">
        <f aca="false">MIN(C10,Input!$B$43)*Input!$B$13</f>
        <v>15997.667457683</v>
      </c>
      <c r="E10" s="25" t="n">
        <f aca="false">G9</f>
        <v>325802.869562995</v>
      </c>
      <c r="F10" s="25" t="n">
        <f aca="false">E10*Input!$B$16</f>
        <v>1629.01434781498</v>
      </c>
      <c r="G10" s="25" t="n">
        <f aca="false">IF(B10&lt;Input!$B$6, E10+D10+F10, E10)</f>
        <v>343429.551368493</v>
      </c>
    </row>
    <row r="11" customFormat="false" ht="15" hidden="false" customHeight="true" outlineLevel="0" collapsed="false">
      <c r="A11" s="23" t="n">
        <v>6</v>
      </c>
      <c r="B11" s="24" t="n">
        <f aca="false">Input!$B$5+A11</f>
        <v>51</v>
      </c>
      <c r="C11" s="25" t="n">
        <f aca="false">IF(B11&lt;Input!$B$6, Input!$B$10*(1+Input!$B$12)^A11, 0)</f>
        <v>49204.9468774188</v>
      </c>
      <c r="D11" s="25" t="n">
        <f aca="false">MIN(C11,Input!$B$43)*Input!$B$13</f>
        <v>16237.6324695482</v>
      </c>
      <c r="E11" s="25" t="n">
        <f aca="false">G10</f>
        <v>343429.551368493</v>
      </c>
      <c r="F11" s="25" t="n">
        <f aca="false">E11*Input!$B$16</f>
        <v>1717.14775684247</v>
      </c>
      <c r="G11" s="25" t="n">
        <f aca="false">IF(B11&lt;Input!$B$6, E11+D11+F11, E11)</f>
        <v>361384.331594884</v>
      </c>
    </row>
    <row r="12" customFormat="false" ht="15" hidden="false" customHeight="true" outlineLevel="0" collapsed="false">
      <c r="A12" s="23" t="n">
        <v>7</v>
      </c>
      <c r="B12" s="24" t="n">
        <f aca="false">Input!$B$5+A12</f>
        <v>52</v>
      </c>
      <c r="C12" s="25" t="n">
        <f aca="false">IF(B12&lt;Input!$B$6, Input!$B$10*(1+Input!$B$12)^A12, 0)</f>
        <v>49943.0210805801</v>
      </c>
      <c r="D12" s="25" t="n">
        <f aca="false">MIN(C12,Input!$B$43)*Input!$B$13</f>
        <v>16481.1969565914</v>
      </c>
      <c r="E12" s="25" t="n">
        <f aca="false">G11</f>
        <v>361384.331594884</v>
      </c>
      <c r="F12" s="25" t="n">
        <f aca="false">E12*Input!$B$16</f>
        <v>1806.92165797442</v>
      </c>
      <c r="G12" s="25" t="n">
        <f aca="false">IF(B12&lt;Input!$B$6, E12+D12+F12, E12)</f>
        <v>379672.45020945</v>
      </c>
    </row>
    <row r="13" customFormat="false" ht="15" hidden="false" customHeight="true" outlineLevel="0" collapsed="false">
      <c r="A13" s="23" t="n">
        <v>8</v>
      </c>
      <c r="B13" s="24" t="n">
        <f aca="false">Input!$B$5+A13</f>
        <v>53</v>
      </c>
      <c r="C13" s="25" t="n">
        <f aca="false">IF(B13&lt;Input!$B$6, Input!$B$10*(1+Input!$B$12)^A13, 0)</f>
        <v>50692.1663967888</v>
      </c>
      <c r="D13" s="25" t="n">
        <f aca="false">MIN(C13,Input!$B$43)*Input!$B$13</f>
        <v>16728.4149109403</v>
      </c>
      <c r="E13" s="25" t="n">
        <f aca="false">G12</f>
        <v>379672.45020945</v>
      </c>
      <c r="F13" s="25" t="n">
        <f aca="false">E13*Input!$B$16</f>
        <v>1898.36225104725</v>
      </c>
      <c r="G13" s="25" t="n">
        <f aca="false">IF(B13&lt;Input!$B$6, E13+D13+F13, E13)</f>
        <v>398299.227371437</v>
      </c>
    </row>
    <row r="14" customFormat="false" ht="15" hidden="false" customHeight="true" outlineLevel="0" collapsed="false">
      <c r="A14" s="23" t="n">
        <v>9</v>
      </c>
      <c r="B14" s="24" t="n">
        <f aca="false">Input!$B$5+A14</f>
        <v>54</v>
      </c>
      <c r="C14" s="25" t="n">
        <f aca="false">IF(B14&lt;Input!$B$6, Input!$B$10*(1+Input!$B$12)^A14, 0)</f>
        <v>51452.5488927406</v>
      </c>
      <c r="D14" s="25" t="n">
        <f aca="false">MIN(C14,Input!$B$43)*Input!$B$13</f>
        <v>16979.3411346044</v>
      </c>
      <c r="E14" s="25" t="n">
        <f aca="false">G13</f>
        <v>398299.227371437</v>
      </c>
      <c r="F14" s="25" t="n">
        <f aca="false">E14*Input!$B$16</f>
        <v>1991.49613685719</v>
      </c>
      <c r="G14" s="25" t="n">
        <f aca="false">IF(B14&lt;Input!$B$6, E14+D14+F14, E14)</f>
        <v>417270.064642899</v>
      </c>
    </row>
    <row r="15" customFormat="false" ht="15" hidden="false" customHeight="true" outlineLevel="0" collapsed="false">
      <c r="A15" s="23" t="n">
        <v>10</v>
      </c>
      <c r="B15" s="24" t="n">
        <f aca="false">Input!$B$5+A15</f>
        <v>55</v>
      </c>
      <c r="C15" s="25" t="n">
        <f aca="false">IF(B15&lt;Input!$B$6, Input!$B$10*(1+Input!$B$12)^A15, 0)</f>
        <v>52224.3371261317</v>
      </c>
      <c r="D15" s="25" t="n">
        <f aca="false">MIN(C15,Input!$B$43)*Input!$B$13</f>
        <v>17234.0312516235</v>
      </c>
      <c r="E15" s="25" t="n">
        <f aca="false">G14</f>
        <v>417270.064642899</v>
      </c>
      <c r="F15" s="25" t="n">
        <f aca="false">E15*Input!$B$16</f>
        <v>2086.35032321449</v>
      </c>
      <c r="G15" s="25" t="n">
        <f aca="false">IF(B15&lt;Input!$B$6, E15+D15+F15, E15)</f>
        <v>436590.446217737</v>
      </c>
    </row>
    <row r="16" customFormat="false" ht="15" hidden="false" customHeight="true" outlineLevel="0" collapsed="false">
      <c r="A16" s="23" t="n">
        <v>11</v>
      </c>
      <c r="B16" s="24" t="n">
        <f aca="false">Input!$B$5+A16</f>
        <v>56</v>
      </c>
      <c r="C16" s="25" t="n">
        <f aca="false">IF(B16&lt;Input!$B$6, Input!$B$10*(1+Input!$B$12)^A16, 0)</f>
        <v>53007.7021830237</v>
      </c>
      <c r="D16" s="25" t="n">
        <f aca="false">MIN(C16,Input!$B$43)*Input!$B$13</f>
        <v>17492.5417203978</v>
      </c>
      <c r="E16" s="25" t="n">
        <f aca="false">G15</f>
        <v>436590.446217737</v>
      </c>
      <c r="F16" s="25" t="n">
        <f aca="false">E16*Input!$B$16</f>
        <v>2182.95223108868</v>
      </c>
      <c r="G16" s="25" t="n">
        <f aca="false">IF(B16&lt;Input!$B$6, E16+D16+F16, E16)</f>
        <v>456265.940169223</v>
      </c>
    </row>
    <row r="17" customFormat="false" ht="15" hidden="false" customHeight="true" outlineLevel="0" collapsed="false">
      <c r="A17" s="23" t="n">
        <v>12</v>
      </c>
      <c r="B17" s="24" t="n">
        <f aca="false">Input!$B$5+A17</f>
        <v>57</v>
      </c>
      <c r="C17" s="25" t="n">
        <f aca="false">IF(B17&lt;Input!$B$6, Input!$B$10*(1+Input!$B$12)^A17, 0)</f>
        <v>53802.817715769</v>
      </c>
      <c r="D17" s="25" t="n">
        <f aca="false">MIN(C17,Input!$B$43)*Input!$B$13</f>
        <v>17754.9298462038</v>
      </c>
      <c r="E17" s="25" t="n">
        <f aca="false">G16</f>
        <v>456265.940169223</v>
      </c>
      <c r="F17" s="25" t="n">
        <f aca="false">E17*Input!$B$16</f>
        <v>2281.32970084612</v>
      </c>
      <c r="G17" s="25" t="n">
        <f aca="false">IF(B17&lt;Input!$B$6, E17+D17+F17, E17)</f>
        <v>476302.199716273</v>
      </c>
    </row>
    <row r="18" customFormat="false" ht="15" hidden="false" customHeight="true" outlineLevel="0" collapsed="false">
      <c r="A18" s="23" t="n">
        <v>13</v>
      </c>
      <c r="B18" s="24" t="n">
        <f aca="false">Input!$B$5+A18</f>
        <v>58</v>
      </c>
      <c r="C18" s="25" t="n">
        <f aca="false">IF(B18&lt;Input!$B$6, Input!$B$10*(1+Input!$B$12)^A18, 0)</f>
        <v>54609.8599815056</v>
      </c>
      <c r="D18" s="25" t="n">
        <f aca="false">MIN(C18,Input!$B$43)*Input!$B$13</f>
        <v>18021.2537938968</v>
      </c>
      <c r="E18" s="25" t="n">
        <f aca="false">G17</f>
        <v>476302.199716273</v>
      </c>
      <c r="F18" s="25" t="n">
        <f aca="false">E18*Input!$B$16</f>
        <v>2381.51099858137</v>
      </c>
      <c r="G18" s="25" t="n">
        <f aca="false">IF(B18&lt;Input!$B$6, E18+D18+F18, E18)</f>
        <v>496704.964508751</v>
      </c>
    </row>
    <row r="19" customFormat="false" ht="15" hidden="false" customHeight="true" outlineLevel="0" collapsed="false">
      <c r="A19" s="23" t="n">
        <v>14</v>
      </c>
      <c r="B19" s="24" t="n">
        <f aca="false">Input!$B$5+A19</f>
        <v>59</v>
      </c>
      <c r="C19" s="25" t="n">
        <f aca="false">IF(B19&lt;Input!$B$6, Input!$B$10*(1+Input!$B$12)^A19, 0)</f>
        <v>55429.0078812281</v>
      </c>
      <c r="D19" s="25" t="n">
        <f aca="false">MIN(C19,Input!$B$43)*Input!$B$13</f>
        <v>18291.5726008053</v>
      </c>
      <c r="E19" s="25" t="n">
        <f aca="false">G18</f>
        <v>496704.964508751</v>
      </c>
      <c r="F19" s="25" t="n">
        <f aca="false">E19*Input!$B$16</f>
        <v>2483.52482254376</v>
      </c>
      <c r="G19" s="25" t="n">
        <f aca="false">IF(B19&lt;Input!$B$6, E19+D19+F19, E19)</f>
        <v>517480.0619321</v>
      </c>
    </row>
    <row r="20" customFormat="false" ht="15" hidden="false" customHeight="true" outlineLevel="0" collapsed="false">
      <c r="A20" s="23" t="n">
        <v>15</v>
      </c>
      <c r="B20" s="24" t="n">
        <f aca="false">Input!$B$5+A20</f>
        <v>60</v>
      </c>
      <c r="C20" s="25" t="n">
        <f aca="false">IF(B20&lt;Input!$B$6, Input!$B$10*(1+Input!$B$12)^A20, 0)</f>
        <v>56260.4429994466</v>
      </c>
      <c r="D20" s="25" t="n">
        <f aca="false">MIN(C20,Input!$B$43)*Input!$B$13</f>
        <v>18565.9461898174</v>
      </c>
      <c r="E20" s="25" t="n">
        <f aca="false">G19</f>
        <v>517480.0619321</v>
      </c>
      <c r="F20" s="25" t="n">
        <f aca="false">E20*Input!$B$16</f>
        <v>2587.4003096605</v>
      </c>
      <c r="G20" s="25" t="n">
        <f aca="false">IF(B20&lt;Input!$B$6, E20+D20+F20, E20)</f>
        <v>538633.408431578</v>
      </c>
    </row>
    <row r="21" customFormat="false" ht="15" hidden="false" customHeight="true" outlineLevel="0" collapsed="false">
      <c r="A21" s="23" t="n">
        <v>16</v>
      </c>
      <c r="B21" s="24" t="n">
        <f aca="false">Input!$B$5+A21</f>
        <v>61</v>
      </c>
      <c r="C21" s="25" t="n">
        <f aca="false">IF(B21&lt;Input!$B$6, Input!$B$10*(1+Input!$B$12)^A21, 0)</f>
        <v>57104.3496444382</v>
      </c>
      <c r="D21" s="25" t="n">
        <f aca="false">MIN(C21,Input!$B$43)*Input!$B$13</f>
        <v>18844.4353826646</v>
      </c>
      <c r="E21" s="25" t="n">
        <f aca="false">G20</f>
        <v>538633.408431578</v>
      </c>
      <c r="F21" s="25" t="n">
        <f aca="false">E21*Input!$B$16</f>
        <v>2693.16704215789</v>
      </c>
      <c r="G21" s="25" t="n">
        <f aca="false">IF(B21&lt;Input!$B$6, E21+D21+F21, E21)</f>
        <v>560171.010856401</v>
      </c>
    </row>
    <row r="22" customFormat="false" ht="15" hidden="false" customHeight="true" outlineLevel="0" collapsed="false">
      <c r="A22" s="23" t="n">
        <v>17</v>
      </c>
      <c r="B22" s="24" t="n">
        <f aca="false">Input!$B$5+A22</f>
        <v>62</v>
      </c>
      <c r="C22" s="25" t="n">
        <f aca="false">IF(B22&lt;Input!$B$6, Input!$B$10*(1+Input!$B$12)^A22, 0)</f>
        <v>57960.9148891048</v>
      </c>
      <c r="D22" s="25" t="n">
        <f aca="false">MIN(C22,Input!$B$43)*Input!$B$13</f>
        <v>19127.1019134046</v>
      </c>
      <c r="E22" s="25" t="n">
        <f aca="false">G21</f>
        <v>560171.010856401</v>
      </c>
      <c r="F22" s="25" t="n">
        <f aca="false">E22*Input!$B$16</f>
        <v>2800.855054282</v>
      </c>
      <c r="G22" s="25" t="n">
        <f aca="false">IF(B22&lt;Input!$B$6, E22+D22+F22, E22)</f>
        <v>582098.967824087</v>
      </c>
    </row>
    <row r="23" customFormat="false" ht="15" hidden="false" customHeight="true" outlineLevel="0" collapsed="false">
      <c r="A23" s="23" t="n">
        <v>18</v>
      </c>
      <c r="B23" s="24" t="n">
        <f aca="false">Input!$B$5+A23</f>
        <v>63</v>
      </c>
      <c r="C23" s="25" t="n">
        <f aca="false">IF(B23&lt;Input!$B$6, Input!$B$10*(1+Input!$B$12)^A23, 0)</f>
        <v>58830.3286124414</v>
      </c>
      <c r="D23" s="25" t="n">
        <f aca="false">MIN(C23,Input!$B$43)*Input!$B$13</f>
        <v>19414.0084421057</v>
      </c>
      <c r="E23" s="25" t="n">
        <f aca="false">G22</f>
        <v>582098.967824087</v>
      </c>
      <c r="F23" s="25" t="n">
        <f aca="false">E23*Input!$B$16</f>
        <v>2910.49483912044</v>
      </c>
      <c r="G23" s="25" t="n">
        <f aca="false">IF(B23&lt;Input!$B$6, E23+D23+F23, E23)</f>
        <v>604423.471105313</v>
      </c>
    </row>
    <row r="24" customFormat="false" ht="15" hidden="false" customHeight="true" outlineLevel="0" collapsed="false">
      <c r="A24" s="23" t="n">
        <v>19</v>
      </c>
      <c r="B24" s="24" t="n">
        <f aca="false">Input!$B$5+A24</f>
        <v>64</v>
      </c>
      <c r="C24" s="25" t="n">
        <f aca="false">IF(B24&lt;Input!$B$6, Input!$B$10*(1+Input!$B$12)^A24, 0)</f>
        <v>59712.783541628</v>
      </c>
      <c r="D24" s="25" t="n">
        <f aca="false">MIN(C24,Input!$B$43)*Input!$B$13</f>
        <v>19705.2185687372</v>
      </c>
      <c r="E24" s="25" t="n">
        <f aca="false">G23</f>
        <v>604423.471105313</v>
      </c>
      <c r="F24" s="25" t="n">
        <f aca="false">E24*Input!$B$16</f>
        <v>3022.11735552657</v>
      </c>
      <c r="G24" s="25" t="n">
        <f aca="false">IF(B24&lt;Input!$B$6, E24+D24+F24, E24)</f>
        <v>627150.807029577</v>
      </c>
    </row>
    <row r="25" customFormat="false" ht="15" hidden="false" customHeight="true" outlineLevel="0" collapsed="false">
      <c r="A25" s="23" t="n">
        <v>20</v>
      </c>
      <c r="B25" s="24" t="n">
        <f aca="false">Input!$B$5+A25</f>
        <v>65</v>
      </c>
      <c r="C25" s="25" t="n">
        <f aca="false">IF(B25&lt;Input!$B$6, Input!$B$10*(1+Input!$B$12)^A25, 0)</f>
        <v>60608.4752947524</v>
      </c>
      <c r="D25" s="25" t="n">
        <f aca="false">MIN(C25,Input!$B$43)*Input!$B$13</f>
        <v>20000.7968472683</v>
      </c>
      <c r="E25" s="25" t="n">
        <f aca="false">G24</f>
        <v>627150.807029577</v>
      </c>
      <c r="F25" s="25" t="n">
        <f aca="false">E25*Input!$B$16</f>
        <v>3135.75403514789</v>
      </c>
      <c r="G25" s="25" t="n">
        <f aca="false">IF(B25&lt;Input!$B$6, E25+D25+F25, E25)</f>
        <v>650287.357911993</v>
      </c>
    </row>
    <row r="26" customFormat="false" ht="15" hidden="false" customHeight="true" outlineLevel="0" collapsed="false">
      <c r="A26" s="23" t="n">
        <v>21</v>
      </c>
      <c r="B26" s="24" t="n">
        <f aca="false">Input!$B$5+A26</f>
        <v>66</v>
      </c>
      <c r="C26" s="25" t="n">
        <f aca="false">IF(B26&lt;Input!$B$6, Input!$B$10*(1+Input!$B$12)^A26, 0)</f>
        <v>61517.6024241737</v>
      </c>
      <c r="D26" s="25" t="n">
        <f aca="false">MIN(C26,Input!$B$43)*Input!$B$13</f>
        <v>20300.8087999773</v>
      </c>
      <c r="E26" s="25" t="n">
        <f aca="false">G25</f>
        <v>650287.357911993</v>
      </c>
      <c r="F26" s="25" t="n">
        <f aca="false">E26*Input!$B$16</f>
        <v>3251.43678955997</v>
      </c>
      <c r="G26" s="25" t="n">
        <f aca="false">IF(B26&lt;Input!$B$6, E26+D26+F26, E26)</f>
        <v>673839.60350153</v>
      </c>
    </row>
    <row r="27" customFormat="false" ht="15" hidden="false" customHeight="true" outlineLevel="0" collapsed="false">
      <c r="A27" s="23" t="n">
        <v>22</v>
      </c>
      <c r="B27" s="24" t="n">
        <f aca="false">Input!$B$5+A27</f>
        <v>67</v>
      </c>
      <c r="C27" s="25" t="n">
        <f aca="false">IF(B27&lt;Input!$B$6, Input!$B$10*(1+Input!$B$12)^A27, 0)</f>
        <v>0</v>
      </c>
      <c r="D27" s="25" t="n">
        <f aca="false">MIN(C27,Input!$B$43)*Input!$B$13</f>
        <v>0</v>
      </c>
      <c r="E27" s="25" t="n">
        <f aca="false">G26</f>
        <v>673839.60350153</v>
      </c>
      <c r="F27" s="25" t="n">
        <f aca="false">E27*Input!$B$16</f>
        <v>3369.19801750765</v>
      </c>
      <c r="G27" s="25" t="n">
        <f aca="false">IF(B27&lt;Input!$B$6, E27+D27+F27, E27)</f>
        <v>673839.60350153</v>
      </c>
    </row>
    <row r="28" customFormat="false" ht="15" hidden="false" customHeight="true" outlineLevel="0" collapsed="false">
      <c r="A28" s="23" t="n">
        <v>23</v>
      </c>
      <c r="B28" s="24" t="n">
        <f aca="false">Input!$B$5+A28</f>
        <v>68</v>
      </c>
      <c r="C28" s="25" t="n">
        <f aca="false">IF(B28&lt;Input!$B$6, Input!$B$10*(1+Input!$B$12)^A28, 0)</f>
        <v>0</v>
      </c>
      <c r="D28" s="25" t="n">
        <f aca="false">MIN(C28,Input!$B$43)*Input!$B$13</f>
        <v>0</v>
      </c>
      <c r="E28" s="25" t="n">
        <f aca="false">G27</f>
        <v>673839.60350153</v>
      </c>
      <c r="F28" s="25" t="n">
        <f aca="false">E28*Input!$B$16</f>
        <v>3369.19801750765</v>
      </c>
      <c r="G28" s="25" t="n">
        <f aca="false">IF(B28&lt;Input!$B$6, E28+D28+F28, E28)</f>
        <v>673839.60350153</v>
      </c>
    </row>
    <row r="29" customFormat="false" ht="15" hidden="false" customHeight="true" outlineLevel="0" collapsed="false">
      <c r="A29" s="23" t="n">
        <v>24</v>
      </c>
      <c r="B29" s="24" t="n">
        <f aca="false">Input!$B$5+A29</f>
        <v>69</v>
      </c>
      <c r="C29" s="25" t="n">
        <f aca="false">IF(B29&lt;Input!$B$6, Input!$B$10*(1+Input!$B$12)^A29, 0)</f>
        <v>0</v>
      </c>
      <c r="D29" s="25" t="n">
        <f aca="false">MIN(C29,Input!$B$43)*Input!$B$13</f>
        <v>0</v>
      </c>
      <c r="E29" s="25" t="n">
        <f aca="false">G28</f>
        <v>673839.60350153</v>
      </c>
      <c r="F29" s="25" t="n">
        <f aca="false">E29*Input!$B$16</f>
        <v>3369.19801750765</v>
      </c>
      <c r="G29" s="25" t="n">
        <f aca="false">IF(B29&lt;Input!$B$6, E29+D29+F29, E29)</f>
        <v>673839.60350153</v>
      </c>
    </row>
    <row r="30" customFormat="false" ht="15" hidden="false" customHeight="true" outlineLevel="0" collapsed="false">
      <c r="A30" s="23" t="n">
        <v>25</v>
      </c>
      <c r="B30" s="24" t="n">
        <f aca="false">Input!$B$5+A30</f>
        <v>70</v>
      </c>
      <c r="C30" s="25" t="n">
        <f aca="false">IF(B30&lt;Input!$B$6, Input!$B$10*(1+Input!$B$12)^A30, 0)</f>
        <v>0</v>
      </c>
      <c r="D30" s="25" t="n">
        <f aca="false">MIN(C30,Input!$B$43)*Input!$B$13</f>
        <v>0</v>
      </c>
      <c r="E30" s="25" t="n">
        <f aca="false">G29</f>
        <v>673839.60350153</v>
      </c>
      <c r="F30" s="25" t="n">
        <f aca="false">E30*Input!$B$16</f>
        <v>3369.19801750765</v>
      </c>
      <c r="G30" s="25" t="n">
        <f aca="false">IF(B30&lt;Input!$B$6, E30+D30+F30, E30)</f>
        <v>673839.60350153</v>
      </c>
    </row>
    <row r="31" customFormat="false" ht="15" hidden="false" customHeight="true" outlineLevel="0" collapsed="false">
      <c r="A31" s="23" t="n">
        <v>26</v>
      </c>
      <c r="B31" s="24" t="n">
        <f aca="false">Input!$B$5+A31</f>
        <v>71</v>
      </c>
      <c r="C31" s="25" t="n">
        <f aca="false">IF(B31&lt;Input!$B$6, Input!$B$10*(1+Input!$B$12)^A31, 0)</f>
        <v>0</v>
      </c>
      <c r="D31" s="25" t="n">
        <f aca="false">MIN(C31,Input!$B$43)*Input!$B$13</f>
        <v>0</v>
      </c>
      <c r="E31" s="25" t="n">
        <f aca="false">G30</f>
        <v>673839.60350153</v>
      </c>
      <c r="F31" s="25" t="n">
        <f aca="false">E31*Input!$B$16</f>
        <v>3369.19801750765</v>
      </c>
      <c r="G31" s="25" t="n">
        <f aca="false">IF(B31&lt;Input!$B$6, E31+D31+F31, E31)</f>
        <v>673839.60350153</v>
      </c>
    </row>
    <row r="32" customFormat="false" ht="15" hidden="false" customHeight="true" outlineLevel="0" collapsed="false">
      <c r="A32" s="23" t="n">
        <v>27</v>
      </c>
      <c r="B32" s="24" t="n">
        <f aca="false">Input!$B$5+A32</f>
        <v>72</v>
      </c>
      <c r="C32" s="25" t="n">
        <f aca="false">IF(B32&lt;Input!$B$6, Input!$B$10*(1+Input!$B$12)^A32, 0)</f>
        <v>0</v>
      </c>
      <c r="D32" s="25" t="n">
        <f aca="false">MIN(C32,Input!$B$43)*Input!$B$13</f>
        <v>0</v>
      </c>
      <c r="E32" s="25" t="n">
        <f aca="false">G31</f>
        <v>673839.60350153</v>
      </c>
      <c r="F32" s="25" t="n">
        <f aca="false">E32*Input!$B$16</f>
        <v>3369.19801750765</v>
      </c>
      <c r="G32" s="25" t="n">
        <f aca="false">IF(B32&lt;Input!$B$6, E32+D32+F32, E32)</f>
        <v>673839.60350153</v>
      </c>
    </row>
    <row r="33" customFormat="false" ht="15" hidden="false" customHeight="true" outlineLevel="0" collapsed="false">
      <c r="A33" s="23" t="n">
        <v>28</v>
      </c>
      <c r="B33" s="24" t="n">
        <f aca="false">Input!$B$5+A33</f>
        <v>73</v>
      </c>
      <c r="C33" s="25" t="n">
        <f aca="false">IF(B33&lt;Input!$B$6, Input!$B$10*(1+Input!$B$12)^A33, 0)</f>
        <v>0</v>
      </c>
      <c r="D33" s="25" t="n">
        <f aca="false">MIN(C33,Input!$B$43)*Input!$B$13</f>
        <v>0</v>
      </c>
      <c r="E33" s="25" t="n">
        <f aca="false">G32</f>
        <v>673839.60350153</v>
      </c>
      <c r="F33" s="25" t="n">
        <f aca="false">E33*Input!$B$16</f>
        <v>3369.19801750765</v>
      </c>
      <c r="G33" s="25" t="n">
        <f aca="false">IF(B33&lt;Input!$B$6, E33+D33+F33, E33)</f>
        <v>673839.60350153</v>
      </c>
    </row>
    <row r="34" customFormat="false" ht="15" hidden="false" customHeight="true" outlineLevel="0" collapsed="false">
      <c r="A34" s="23" t="n">
        <v>29</v>
      </c>
      <c r="B34" s="24" t="n">
        <f aca="false">Input!$B$5+A34</f>
        <v>74</v>
      </c>
      <c r="C34" s="25" t="n">
        <f aca="false">IF(B34&lt;Input!$B$6, Input!$B$10*(1+Input!$B$12)^A34, 0)</f>
        <v>0</v>
      </c>
      <c r="D34" s="25" t="n">
        <f aca="false">MIN(C34,Input!$B$43)*Input!$B$13</f>
        <v>0</v>
      </c>
      <c r="E34" s="25" t="n">
        <f aca="false">G33</f>
        <v>673839.60350153</v>
      </c>
      <c r="F34" s="25" t="n">
        <f aca="false">E34*Input!$B$16</f>
        <v>3369.19801750765</v>
      </c>
      <c r="G34" s="25" t="n">
        <f aca="false">IF(B34&lt;Input!$B$6, E34+D34+F34, E34)</f>
        <v>673839.60350153</v>
      </c>
    </row>
    <row r="35" customFormat="false" ht="15" hidden="false" customHeight="true" outlineLevel="0" collapsed="false">
      <c r="A35" s="23" t="n">
        <v>30</v>
      </c>
      <c r="B35" s="24" t="n">
        <f aca="false">Input!$B$5+A35</f>
        <v>75</v>
      </c>
      <c r="C35" s="25" t="n">
        <f aca="false">IF(B35&lt;Input!$B$6, Input!$B$10*(1+Input!$B$12)^A35, 0)</f>
        <v>0</v>
      </c>
      <c r="D35" s="25" t="n">
        <f aca="false">MIN(C35,Input!$B$43)*Input!$B$13</f>
        <v>0</v>
      </c>
      <c r="E35" s="25" t="n">
        <f aca="false">G34</f>
        <v>673839.60350153</v>
      </c>
      <c r="F35" s="25" t="n">
        <f aca="false">E35*Input!$B$16</f>
        <v>3369.19801750765</v>
      </c>
      <c r="G35" s="25" t="n">
        <f aca="false">IF(B35&lt;Input!$B$6, E35+D35+F35, E35)</f>
        <v>673839.60350153</v>
      </c>
    </row>
    <row r="36" customFormat="false" ht="15" hidden="false" customHeight="true" outlineLevel="0" collapsed="false">
      <c r="A36" s="23" t="n">
        <v>31</v>
      </c>
      <c r="B36" s="24" t="n">
        <f aca="false">Input!$B$5+A36</f>
        <v>76</v>
      </c>
      <c r="C36" s="25" t="n">
        <f aca="false">IF(B36&lt;Input!$B$6, Input!$B$10*(1+Input!$B$12)^A36, 0)</f>
        <v>0</v>
      </c>
      <c r="D36" s="25" t="n">
        <f aca="false">MIN(C36,Input!$B$43)*Input!$B$13</f>
        <v>0</v>
      </c>
      <c r="E36" s="25" t="n">
        <f aca="false">G35</f>
        <v>673839.60350153</v>
      </c>
      <c r="F36" s="25" t="n">
        <f aca="false">E36*Input!$B$16</f>
        <v>3369.19801750765</v>
      </c>
      <c r="G36" s="25" t="n">
        <f aca="false">IF(B36&lt;Input!$B$6, E36+D36+F36, E36)</f>
        <v>673839.60350153</v>
      </c>
    </row>
    <row r="37" customFormat="false" ht="15" hidden="false" customHeight="true" outlineLevel="0" collapsed="false">
      <c r="A37" s="23" t="n">
        <v>32</v>
      </c>
      <c r="B37" s="24" t="n">
        <f aca="false">Input!$B$5+A37</f>
        <v>77</v>
      </c>
      <c r="C37" s="25" t="n">
        <f aca="false">IF(B37&lt;Input!$B$6, Input!$B$10*(1+Input!$B$12)^A37, 0)</f>
        <v>0</v>
      </c>
      <c r="D37" s="25" t="n">
        <f aca="false">MIN(C37,Input!$B$43)*Input!$B$13</f>
        <v>0</v>
      </c>
      <c r="E37" s="25" t="n">
        <f aca="false">G36</f>
        <v>673839.60350153</v>
      </c>
      <c r="F37" s="25" t="n">
        <f aca="false">E37*Input!$B$16</f>
        <v>3369.19801750765</v>
      </c>
      <c r="G37" s="25" t="n">
        <f aca="false">IF(B37&lt;Input!$B$6, E37+D37+F37, E37)</f>
        <v>673839.60350153</v>
      </c>
    </row>
    <row r="38" customFormat="false" ht="15" hidden="false" customHeight="true" outlineLevel="0" collapsed="false">
      <c r="A38" s="23" t="n">
        <v>33</v>
      </c>
      <c r="B38" s="24" t="n">
        <f aca="false">Input!$B$5+A38</f>
        <v>78</v>
      </c>
      <c r="C38" s="25" t="n">
        <f aca="false">IF(B38&lt;Input!$B$6, Input!$B$10*(1+Input!$B$12)^A38, 0)</f>
        <v>0</v>
      </c>
      <c r="D38" s="25" t="n">
        <f aca="false">MIN(C38,Input!$B$43)*Input!$B$13</f>
        <v>0</v>
      </c>
      <c r="E38" s="25" t="n">
        <f aca="false">G37</f>
        <v>673839.60350153</v>
      </c>
      <c r="F38" s="25" t="n">
        <f aca="false">E38*Input!$B$16</f>
        <v>3369.19801750765</v>
      </c>
      <c r="G38" s="25" t="n">
        <f aca="false">IF(B38&lt;Input!$B$6, E38+D38+F38, E38)</f>
        <v>673839.60350153</v>
      </c>
    </row>
    <row r="39" customFormat="false" ht="15" hidden="false" customHeight="true" outlineLevel="0" collapsed="false">
      <c r="A39" s="23" t="n">
        <v>34</v>
      </c>
      <c r="B39" s="24" t="n">
        <f aca="false">Input!$B$5+A39</f>
        <v>79</v>
      </c>
      <c r="C39" s="25" t="n">
        <f aca="false">IF(B39&lt;Input!$B$6, Input!$B$10*(1+Input!$B$12)^A39, 0)</f>
        <v>0</v>
      </c>
      <c r="D39" s="25" t="n">
        <f aca="false">MIN(C39,Input!$B$43)*Input!$B$13</f>
        <v>0</v>
      </c>
      <c r="E39" s="25" t="n">
        <f aca="false">G38</f>
        <v>673839.60350153</v>
      </c>
      <c r="F39" s="25" t="n">
        <f aca="false">E39*Input!$B$16</f>
        <v>3369.19801750765</v>
      </c>
      <c r="G39" s="25" t="n">
        <f aca="false">IF(B39&lt;Input!$B$6, E39+D39+F39, E39)</f>
        <v>673839.60350153</v>
      </c>
    </row>
    <row r="40" customFormat="false" ht="15" hidden="false" customHeight="true" outlineLevel="0" collapsed="false">
      <c r="A40" s="23" t="n">
        <v>35</v>
      </c>
      <c r="B40" s="24" t="n">
        <f aca="false">Input!$B$5+A40</f>
        <v>80</v>
      </c>
      <c r="C40" s="25" t="n">
        <f aca="false">IF(B40&lt;Input!$B$6, Input!$B$10*(1+Input!$B$12)^A40, 0)</f>
        <v>0</v>
      </c>
      <c r="D40" s="25" t="n">
        <f aca="false">MIN(C40,Input!$B$43)*Input!$B$13</f>
        <v>0</v>
      </c>
      <c r="E40" s="25" t="n">
        <f aca="false">G39</f>
        <v>673839.60350153</v>
      </c>
      <c r="F40" s="25" t="n">
        <f aca="false">E40*Input!$B$16</f>
        <v>3369.19801750765</v>
      </c>
      <c r="G40" s="25" t="n">
        <f aca="false">IF(B40&lt;Input!$B$6, E40+D40+F40, E40)</f>
        <v>673839.60350153</v>
      </c>
    </row>
    <row r="41" customFormat="false" ht="15" hidden="false" customHeight="true" outlineLevel="0" collapsed="false">
      <c r="A41" s="23" t="n">
        <v>36</v>
      </c>
      <c r="B41" s="24" t="n">
        <f aca="false">Input!$B$5+A41</f>
        <v>81</v>
      </c>
      <c r="C41" s="25" t="n">
        <f aca="false">IF(B41&lt;Input!$B$6, Input!$B$10*(1+Input!$B$12)^A41, 0)</f>
        <v>0</v>
      </c>
      <c r="D41" s="25" t="n">
        <f aca="false">MIN(C41,Input!$B$43)*Input!$B$13</f>
        <v>0</v>
      </c>
      <c r="E41" s="25" t="n">
        <f aca="false">G40</f>
        <v>673839.60350153</v>
      </c>
      <c r="F41" s="25" t="n">
        <f aca="false">E41*Input!$B$16</f>
        <v>3369.19801750765</v>
      </c>
      <c r="G41" s="25" t="n">
        <f aca="false">IF(B41&lt;Input!$B$6, E41+D41+F41, E41)</f>
        <v>673839.60350153</v>
      </c>
    </row>
    <row r="42" customFormat="false" ht="15" hidden="false" customHeight="true" outlineLevel="0" collapsed="false">
      <c r="A42" s="23" t="n">
        <v>37</v>
      </c>
      <c r="B42" s="24" t="n">
        <f aca="false">Input!$B$5+A42</f>
        <v>82</v>
      </c>
      <c r="C42" s="25" t="n">
        <f aca="false">IF(B42&lt;Input!$B$6, Input!$B$10*(1+Input!$B$12)^A42, 0)</f>
        <v>0</v>
      </c>
      <c r="D42" s="25" t="n">
        <f aca="false">MIN(C42,Input!$B$43)*Input!$B$13</f>
        <v>0</v>
      </c>
      <c r="E42" s="25" t="n">
        <f aca="false">G41</f>
        <v>673839.60350153</v>
      </c>
      <c r="F42" s="25" t="n">
        <f aca="false">E42*Input!$B$16</f>
        <v>3369.19801750765</v>
      </c>
      <c r="G42" s="25" t="n">
        <f aca="false">IF(B42&lt;Input!$B$6, E42+D42+F42, E42)</f>
        <v>673839.60350153</v>
      </c>
    </row>
    <row r="43" customFormat="false" ht="15" hidden="false" customHeight="true" outlineLevel="0" collapsed="false">
      <c r="A43" s="23" t="n">
        <v>38</v>
      </c>
      <c r="B43" s="24" t="n">
        <f aca="false">Input!$B$5+A43</f>
        <v>83</v>
      </c>
      <c r="C43" s="25" t="n">
        <f aca="false">IF(B43&lt;Input!$B$6, Input!$B$10*(1+Input!$B$12)^A43, 0)</f>
        <v>0</v>
      </c>
      <c r="D43" s="25" t="n">
        <f aca="false">MIN(C43,Input!$B$43)*Input!$B$13</f>
        <v>0</v>
      </c>
      <c r="E43" s="25" t="n">
        <f aca="false">G42</f>
        <v>673839.60350153</v>
      </c>
      <c r="F43" s="25" t="n">
        <f aca="false">E43*Input!$B$16</f>
        <v>3369.19801750765</v>
      </c>
      <c r="G43" s="25" t="n">
        <f aca="false">IF(B43&lt;Input!$B$6, E43+D43+F43, E43)</f>
        <v>673839.60350153</v>
      </c>
    </row>
    <row r="44" customFormat="false" ht="15" hidden="false" customHeight="true" outlineLevel="0" collapsed="false">
      <c r="A44" s="23" t="n">
        <v>39</v>
      </c>
      <c r="B44" s="24" t="n">
        <f aca="false">Input!$B$5+A44</f>
        <v>84</v>
      </c>
      <c r="C44" s="25" t="n">
        <f aca="false">IF(B44&lt;Input!$B$6, Input!$B$10*(1+Input!$B$12)^A44, 0)</f>
        <v>0</v>
      </c>
      <c r="D44" s="25" t="n">
        <f aca="false">MIN(C44,Input!$B$43)*Input!$B$13</f>
        <v>0</v>
      </c>
      <c r="E44" s="25" t="n">
        <f aca="false">G43</f>
        <v>673839.60350153</v>
      </c>
      <c r="F44" s="25" t="n">
        <f aca="false">E44*Input!$B$16</f>
        <v>3369.19801750765</v>
      </c>
      <c r="G44" s="25" t="n">
        <f aca="false">IF(B44&lt;Input!$B$6, E44+D44+F44, E44)</f>
        <v>673839.60350153</v>
      </c>
    </row>
    <row r="45" customFormat="false" ht="15" hidden="false" customHeight="true" outlineLevel="0" collapsed="false">
      <c r="A45" s="23" t="n">
        <v>40</v>
      </c>
      <c r="B45" s="24" t="n">
        <f aca="false">Input!$B$5+A45</f>
        <v>85</v>
      </c>
      <c r="C45" s="25" t="n">
        <f aca="false">IF(B45&lt;Input!$B$6, Input!$B$10*(1+Input!$B$12)^A45, 0)</f>
        <v>0</v>
      </c>
      <c r="D45" s="25" t="n">
        <f aca="false">MIN(C45,Input!$B$43)*Input!$B$13</f>
        <v>0</v>
      </c>
      <c r="E45" s="25" t="n">
        <f aca="false">G44</f>
        <v>673839.60350153</v>
      </c>
      <c r="F45" s="25" t="n">
        <f aca="false">E45*Input!$B$16</f>
        <v>3369.19801750765</v>
      </c>
      <c r="G45" s="25" t="n">
        <f aca="false">IF(B45&lt;Input!$B$6, E45+D45+F45, E45)</f>
        <v>673839.60350153</v>
      </c>
    </row>
    <row r="46" customFormat="false" ht="15" hidden="false" customHeight="true" outlineLevel="0" collapsed="false">
      <c r="A46" s="23" t="n">
        <v>41</v>
      </c>
      <c r="B46" s="24" t="n">
        <f aca="false">Input!$B$5+A46</f>
        <v>86</v>
      </c>
      <c r="C46" s="25" t="n">
        <f aca="false">IF(B46&lt;Input!$B$6, Input!$B$10*(1+Input!$B$12)^A46, 0)</f>
        <v>0</v>
      </c>
      <c r="D46" s="25" t="n">
        <f aca="false">MIN(C46,Input!$B$43)*Input!$B$13</f>
        <v>0</v>
      </c>
      <c r="E46" s="25" t="n">
        <f aca="false">G45</f>
        <v>673839.60350153</v>
      </c>
      <c r="F46" s="25" t="n">
        <f aca="false">E46*Input!$B$16</f>
        <v>3369.19801750765</v>
      </c>
      <c r="G46" s="25" t="n">
        <f aca="false">IF(B46&lt;Input!$B$6, E46+D46+F46, E46)</f>
        <v>673839.60350153</v>
      </c>
    </row>
    <row r="47" customFormat="false" ht="15" hidden="false" customHeight="true" outlineLevel="0" collapsed="false">
      <c r="A47" s="23" t="n">
        <v>42</v>
      </c>
      <c r="B47" s="24" t="n">
        <f aca="false">Input!$B$5+A47</f>
        <v>87</v>
      </c>
      <c r="C47" s="25" t="n">
        <f aca="false">IF(B47&lt;Input!$B$6, Input!$B$10*(1+Input!$B$12)^A47, 0)</f>
        <v>0</v>
      </c>
      <c r="D47" s="25" t="n">
        <f aca="false">MIN(C47,Input!$B$43)*Input!$B$13</f>
        <v>0</v>
      </c>
      <c r="E47" s="25" t="n">
        <f aca="false">G46</f>
        <v>673839.60350153</v>
      </c>
      <c r="F47" s="25" t="n">
        <f aca="false">E47*Input!$B$16</f>
        <v>3369.19801750765</v>
      </c>
      <c r="G47" s="25" t="n">
        <f aca="false">IF(B47&lt;Input!$B$6, E47+D47+F47, E47)</f>
        <v>673839.60350153</v>
      </c>
    </row>
    <row r="48" customFormat="false" ht="15" hidden="false" customHeight="true" outlineLevel="0" collapsed="false">
      <c r="A48" s="23" t="n">
        <v>43</v>
      </c>
      <c r="B48" s="24" t="n">
        <f aca="false">Input!$B$5+A48</f>
        <v>88</v>
      </c>
      <c r="C48" s="25" t="n">
        <f aca="false">IF(B48&lt;Input!$B$6, Input!$B$10*(1+Input!$B$12)^A48, 0)</f>
        <v>0</v>
      </c>
      <c r="D48" s="25" t="n">
        <f aca="false">MIN(C48,Input!$B$43)*Input!$B$13</f>
        <v>0</v>
      </c>
      <c r="E48" s="25" t="n">
        <f aca="false">G47</f>
        <v>673839.60350153</v>
      </c>
      <c r="F48" s="25" t="n">
        <f aca="false">E48*Input!$B$16</f>
        <v>3369.19801750765</v>
      </c>
      <c r="G48" s="25" t="n">
        <f aca="false">IF(B48&lt;Input!$B$6, E48+D48+F48, E48)</f>
        <v>673839.60350153</v>
      </c>
    </row>
    <row r="49" customFormat="false" ht="15" hidden="false" customHeight="true" outlineLevel="0" collapsed="false">
      <c r="A49" s="23" t="n">
        <v>44</v>
      </c>
      <c r="B49" s="24" t="n">
        <f aca="false">Input!$B$5+A49</f>
        <v>89</v>
      </c>
      <c r="C49" s="25" t="n">
        <f aca="false">IF(B49&lt;Input!$B$6, Input!$B$10*(1+Input!$B$12)^A49, 0)</f>
        <v>0</v>
      </c>
      <c r="D49" s="25" t="n">
        <f aca="false">MIN(C49,Input!$B$43)*Input!$B$13</f>
        <v>0</v>
      </c>
      <c r="E49" s="25" t="n">
        <f aca="false">G48</f>
        <v>673839.60350153</v>
      </c>
      <c r="F49" s="25" t="n">
        <f aca="false">E49*Input!$B$16</f>
        <v>3369.19801750765</v>
      </c>
      <c r="G49" s="25" t="n">
        <f aca="false">IF(B49&lt;Input!$B$6, E49+D49+F49, E49)</f>
        <v>673839.60350153</v>
      </c>
    </row>
    <row r="50" customFormat="false" ht="15" hidden="false" customHeight="true" outlineLevel="0" collapsed="false">
      <c r="A50" s="23" t="n">
        <v>45</v>
      </c>
      <c r="B50" s="24" t="n">
        <f aca="false">Input!$B$5+A50</f>
        <v>90</v>
      </c>
      <c r="C50" s="25" t="n">
        <f aca="false">IF(B50&lt;Input!$B$6, Input!$B$10*(1+Input!$B$12)^A50, 0)</f>
        <v>0</v>
      </c>
      <c r="D50" s="25" t="n">
        <f aca="false">MIN(C50,Input!$B$43)*Input!$B$13</f>
        <v>0</v>
      </c>
      <c r="E50" s="25" t="n">
        <f aca="false">G49</f>
        <v>673839.60350153</v>
      </c>
      <c r="F50" s="25" t="n">
        <f aca="false">E50*Input!$B$16</f>
        <v>3369.19801750765</v>
      </c>
      <c r="G50" s="25" t="n">
        <f aca="false">IF(B50&lt;Input!$B$6, E50+D50+F50, E50)</f>
        <v>673839.60350153</v>
      </c>
    </row>
    <row r="51" customFormat="false" ht="15" hidden="false" customHeight="true" outlineLevel="0" collapsed="false">
      <c r="A51" s="23" t="n">
        <v>46</v>
      </c>
      <c r="B51" s="24" t="n">
        <f aca="false">Input!$B$5+A51</f>
        <v>91</v>
      </c>
      <c r="C51" s="25" t="n">
        <f aca="false">IF(B51&lt;Input!$B$6, Input!$B$10*(1+Input!$B$12)^A51, 0)</f>
        <v>0</v>
      </c>
      <c r="D51" s="25" t="n">
        <f aca="false">MIN(C51,Input!$B$43)*Input!$B$13</f>
        <v>0</v>
      </c>
      <c r="E51" s="25" t="n">
        <f aca="false">G50</f>
        <v>673839.60350153</v>
      </c>
      <c r="F51" s="25" t="n">
        <f aca="false">E51*Input!$B$16</f>
        <v>3369.19801750765</v>
      </c>
      <c r="G51" s="25" t="n">
        <f aca="false">IF(B51&lt;Input!$B$6, E51+D51+F51, E51)</f>
        <v>673839.60350153</v>
      </c>
    </row>
    <row r="52" customFormat="false" ht="15" hidden="false" customHeight="true" outlineLevel="0" collapsed="false">
      <c r="A52" s="23" t="n">
        <v>47</v>
      </c>
      <c r="B52" s="24" t="n">
        <f aca="false">Input!$B$5+A52</f>
        <v>92</v>
      </c>
      <c r="C52" s="25" t="n">
        <f aca="false">IF(B52&lt;Input!$B$6, Input!$B$10*(1+Input!$B$12)^A52, 0)</f>
        <v>0</v>
      </c>
      <c r="D52" s="25" t="n">
        <f aca="false">MIN(C52,Input!$B$43)*Input!$B$13</f>
        <v>0</v>
      </c>
      <c r="E52" s="25" t="n">
        <f aca="false">G51</f>
        <v>673839.60350153</v>
      </c>
      <c r="F52" s="25" t="n">
        <f aca="false">E52*Input!$B$16</f>
        <v>3369.19801750765</v>
      </c>
      <c r="G52" s="25" t="n">
        <f aca="false">IF(B52&lt;Input!$B$6, E52+D52+F52, E52)</f>
        <v>673839.60350153</v>
      </c>
    </row>
    <row r="53" customFormat="false" ht="15" hidden="false" customHeight="true" outlineLevel="0" collapsed="false">
      <c r="A53" s="23" t="n">
        <v>48</v>
      </c>
      <c r="B53" s="24" t="n">
        <f aca="false">Input!$B$5+A53</f>
        <v>93</v>
      </c>
      <c r="C53" s="25" t="n">
        <f aca="false">IF(B53&lt;Input!$B$6, Input!$B$10*(1+Input!$B$12)^A53, 0)</f>
        <v>0</v>
      </c>
      <c r="D53" s="25" t="n">
        <f aca="false">MIN(C53,Input!$B$43)*Input!$B$13</f>
        <v>0</v>
      </c>
      <c r="E53" s="25" t="n">
        <f aca="false">G52</f>
        <v>673839.60350153</v>
      </c>
      <c r="F53" s="25" t="n">
        <f aca="false">E53*Input!$B$16</f>
        <v>3369.19801750765</v>
      </c>
      <c r="G53" s="25" t="n">
        <f aca="false">IF(B53&lt;Input!$B$6, E53+D53+F53, E53)</f>
        <v>673839.60350153</v>
      </c>
    </row>
    <row r="54" customFormat="false" ht="15" hidden="false" customHeight="true" outlineLevel="0" collapsed="false">
      <c r="A54" s="23" t="n">
        <v>49</v>
      </c>
      <c r="B54" s="24" t="n">
        <f aca="false">Input!$B$5+A54</f>
        <v>94</v>
      </c>
      <c r="C54" s="25" t="n">
        <f aca="false">IF(B54&lt;Input!$B$6, Input!$B$10*(1+Input!$B$12)^A54, 0)</f>
        <v>0</v>
      </c>
      <c r="D54" s="25" t="n">
        <f aca="false">MIN(C54,Input!$B$43)*Input!$B$13</f>
        <v>0</v>
      </c>
      <c r="E54" s="25" t="n">
        <f aca="false">G53</f>
        <v>673839.60350153</v>
      </c>
      <c r="F54" s="25" t="n">
        <f aca="false">E54*Input!$B$16</f>
        <v>3369.19801750765</v>
      </c>
      <c r="G54" s="25" t="n">
        <f aca="false">IF(B54&lt;Input!$B$6, E54+D54+F54, E54)</f>
        <v>673839.60350153</v>
      </c>
    </row>
    <row r="57" customFormat="false" ht="15" hidden="false" customHeight="true" outlineLevel="0" collapsed="false">
      <c r="A57" s="4" t="s">
        <v>92</v>
      </c>
      <c r="B57" s="4"/>
      <c r="C57" s="4"/>
      <c r="D57" s="4"/>
      <c r="E57" s="4"/>
      <c r="F57" s="4"/>
      <c r="G57" s="4"/>
    </row>
    <row r="58" customFormat="false" ht="15" hidden="false" customHeight="true" outlineLevel="0" collapsed="false">
      <c r="A58" s="5" t="s">
        <v>93</v>
      </c>
      <c r="B58" s="15" t="n">
        <f aca="false">INDEX(G5:G54, MATCH(Input!$B$6-1, B5:B54, 0))</f>
        <v>673839.60350153</v>
      </c>
    </row>
    <row r="59" customFormat="false" ht="15" hidden="false" customHeight="true" outlineLevel="0" collapsed="false">
      <c r="A59" s="5" t="s">
        <v>94</v>
      </c>
      <c r="B59" s="27" t="n">
        <f aca="false">VLOOKUP(Input!$B$6, Coefficienti!A5:C19, 3, FALSE())</f>
        <v>0.05608</v>
      </c>
    </row>
    <row r="60" customFormat="false" ht="15" hidden="false" customHeight="true" outlineLevel="0" collapsed="false">
      <c r="A60" s="5" t="s">
        <v>95</v>
      </c>
      <c r="B60" s="28" t="n">
        <f aca="false">Input!$B$40</f>
        <v>0.0459234355786974</v>
      </c>
    </row>
    <row r="61" customFormat="false" ht="15" hidden="false" customHeight="true" outlineLevel="0" collapsed="false">
      <c r="A61" s="5" t="s">
        <v>96</v>
      </c>
      <c r="B61" s="29" t="n">
        <f aca="false">B58*B60</f>
        <v>30945.0296217775</v>
      </c>
    </row>
    <row r="62" customFormat="false" ht="15" hidden="false" customHeight="true" outlineLevel="0" collapsed="false">
      <c r="A62" s="5" t="s">
        <v>97</v>
      </c>
      <c r="B62" s="15" t="n">
        <f aca="false">B61/13</f>
        <v>2380.38689398289</v>
      </c>
    </row>
    <row r="63" customFormat="false" ht="15" hidden="false" customHeight="true" outlineLevel="0" collapsed="false">
      <c r="A63" s="5" t="s">
        <v>98</v>
      </c>
      <c r="B63" s="15" t="n">
        <f aca="false">IF(B61&lt;=28000, B61*0.23, IF(B61&lt;=50000, 28000*0.23 + (B61-28000)*0.33, 28000*0.23 + 22000*0.33 + (B61-50000)*0.43))</f>
        <v>7411.85977518658</v>
      </c>
    </row>
    <row r="64" customFormat="false" ht="15" hidden="false" customHeight="true" outlineLevel="0" collapsed="false">
      <c r="A64" s="5" t="s">
        <v>99</v>
      </c>
      <c r="B64" s="15" t="n">
        <f aca="false">IF(B61&lt;=8500, 1955, IF(B61&lt;=28000, 700 + 1255*(28000-B61)/19500, IF(B61&lt;=50000, 700*(50000-B61)/22000, 0)))</f>
        <v>606.294512034352</v>
      </c>
    </row>
    <row r="65" customFormat="false" ht="15" hidden="false" customHeight="true" outlineLevel="0" collapsed="false">
      <c r="A65" s="5" t="s">
        <v>100</v>
      </c>
      <c r="B65" s="15" t="n">
        <f aca="false">IF(B63-B64&gt;0,B61*0.02,0)</f>
        <v>618.900592435551</v>
      </c>
    </row>
    <row r="66" customFormat="false" ht="15" hidden="false" customHeight="true" outlineLevel="0" collapsed="false">
      <c r="A66" s="21" t="s">
        <v>101</v>
      </c>
      <c r="B66" s="29" t="n">
        <f aca="false">B61-MAX(0,B63-B64)-B65</f>
        <v>23520.5637661897</v>
      </c>
    </row>
    <row r="67" customFormat="false" ht="15" hidden="false" customHeight="true" outlineLevel="0" collapsed="false">
      <c r="A67" s="21" t="s">
        <v>102</v>
      </c>
      <c r="B67" s="29" t="n">
        <f aca="false">B66/13</f>
        <v>1809.27413586075</v>
      </c>
    </row>
    <row r="68" customFormat="false" ht="15" hidden="false" customHeight="true" outlineLevel="0" collapsed="false">
      <c r="A68" s="5" t="s">
        <v>103</v>
      </c>
      <c r="B68" s="11" t="n">
        <f aca="false">IFERROR(B61/INDEX(C5:C54, MATCH(Input!$B$6-1, B5:B54, 0)), 0)</f>
        <v>0.503027237771827</v>
      </c>
    </row>
    <row r="70" customFormat="false" ht="15" hidden="false" customHeight="true" outlineLevel="0" collapsed="false">
      <c r="A70" s="3" t="s">
        <v>104</v>
      </c>
      <c r="B70" s="3"/>
      <c r="C70" s="3"/>
      <c r="D70" s="3"/>
      <c r="E70" s="3"/>
      <c r="F70" s="3"/>
      <c r="G70" s="3"/>
    </row>
  </sheetData>
  <mergeCells count="4">
    <mergeCell ref="A1:G1"/>
    <mergeCell ref="A2:G2"/>
    <mergeCell ref="A57:G57"/>
    <mergeCell ref="A70:G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8" min="2" style="1" width="14"/>
    <col collapsed="false" customWidth="true" hidden="false" outlineLevel="0" max="15" min="9" style="1" width="16"/>
  </cols>
  <sheetData>
    <row r="1" customFormat="false" ht="17.25" hidden="false" customHeight="true" outlineLevel="0" collapsed="false">
      <c r="A1" s="2" t="s">
        <v>105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106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17" t="s">
        <v>86</v>
      </c>
      <c r="B4" s="17" t="s">
        <v>73</v>
      </c>
      <c r="C4" s="17" t="s">
        <v>87</v>
      </c>
      <c r="D4" s="17" t="s">
        <v>107</v>
      </c>
      <c r="E4" s="17" t="s">
        <v>108</v>
      </c>
      <c r="F4" s="17" t="s">
        <v>109</v>
      </c>
      <c r="G4" s="17" t="s">
        <v>110</v>
      </c>
      <c r="H4" s="17" t="s">
        <v>91</v>
      </c>
      <c r="I4" s="17" t="s">
        <v>111</v>
      </c>
      <c r="J4" s="17" t="s">
        <v>112</v>
      </c>
      <c r="K4" s="17" t="s">
        <v>113</v>
      </c>
      <c r="L4" s="17" t="s">
        <v>114</v>
      </c>
      <c r="M4" s="17" t="s">
        <v>115</v>
      </c>
      <c r="N4" s="17" t="s">
        <v>116</v>
      </c>
      <c r="O4" s="17" t="s">
        <v>117</v>
      </c>
    </row>
    <row r="5" customFormat="false" ht="15" hidden="false" customHeight="true" outlineLevel="0" collapsed="false">
      <c r="A5" s="23" t="n">
        <v>0</v>
      </c>
      <c r="B5" s="24" t="n">
        <f aca="false">Input!$B$5+A5</f>
        <v>45</v>
      </c>
      <c r="C5" s="25" t="n">
        <f aca="false">IF(B5&lt;Input!$B$6, Input!$B$10*(1+Input!$B$12)^A5, 0)</f>
        <v>45000</v>
      </c>
      <c r="D5" s="25" t="n">
        <f aca="false">C5*0.0691*Input!$B$21</f>
        <v>3109.5</v>
      </c>
      <c r="E5" s="25" t="n">
        <f aca="false">IF(B5&lt;Input!$B$6,Input!$B$26+C5*Input!$B$47,0)</f>
        <v>2000</v>
      </c>
      <c r="F5" s="25" t="n">
        <f aca="false">C5*Input!$B$27</f>
        <v>675</v>
      </c>
      <c r="G5" s="25" t="n">
        <f aca="false">(Input!$B$22*Input!$B$21+Input!$B$25)*Input!$B$28</f>
        <v>325</v>
      </c>
      <c r="H5" s="25" t="n">
        <f aca="false">Input!$B$22*Input!$B$21+Input!$B$25+D5+E5+F5+G5</f>
        <v>19109.5</v>
      </c>
      <c r="I5" s="25" t="n">
        <f aca="false">MIN(Input!$B$44,E5+F5)-MIN(Input!$B$44,F5+C5*Input!$B$47)</f>
        <v>2000</v>
      </c>
      <c r="J5" s="25" t="n">
        <f aca="false">E5+F5-MIN(Input!$B$44,E5+F5)</f>
        <v>0</v>
      </c>
      <c r="K5" s="25" t="n">
        <f aca="false">(D5+MIN(Input!$B$44,E5+F5))*(1+Input!$B$17)^(A5-Input!$B$36)</f>
        <v>3741.64040404033</v>
      </c>
      <c r="L5" s="25" t="n">
        <f aca="false">C5*0.0691</f>
        <v>3109.5</v>
      </c>
      <c r="M5" s="25" t="n">
        <f aca="false">IF(B5&lt;Input!$B$6,Input!$B$22*Input!$B$21*(1+Input!$B$49)+L5,Input!$B$22*Input!$B$21)</f>
        <v>11147.931372549</v>
      </c>
      <c r="N5" s="25" t="n">
        <f aca="false">IF(B5&lt;Input!$B$6,Input!$B$22*Input!$B$21*(1+Input!$B$28)+L5,Input!$B$22*Input!$B$21)</f>
        <v>11309.5</v>
      </c>
      <c r="O5" s="25" t="n">
        <f aca="false">L5*(1+Input!$B$17)^(A5-Input!$B$36)</f>
        <v>2011.34598260237</v>
      </c>
    </row>
    <row r="6" customFormat="false" ht="15" hidden="false" customHeight="true" outlineLevel="0" collapsed="false">
      <c r="A6" s="23" t="n">
        <v>1</v>
      </c>
      <c r="B6" s="24" t="n">
        <f aca="false">Input!$B$5+A6</f>
        <v>46</v>
      </c>
      <c r="C6" s="25" t="n">
        <f aca="false">IF(B6&lt;Input!$B$6, Input!$B$10*(1+Input!$B$12)^A6, 0)</f>
        <v>45675</v>
      </c>
      <c r="D6" s="25" t="n">
        <f aca="false">C6*0.0691*Input!$B$21</f>
        <v>3156.1425</v>
      </c>
      <c r="E6" s="25" t="n">
        <f aca="false">IF(B6&lt;Input!$B$6,Input!$B$26+C6*Input!$B$47,0)</f>
        <v>2000</v>
      </c>
      <c r="F6" s="25" t="n">
        <f aca="false">C6*Input!$B$27</f>
        <v>685.125</v>
      </c>
      <c r="G6" s="25" t="n">
        <f aca="false">H5*Input!$B$28</f>
        <v>477.7375</v>
      </c>
      <c r="H6" s="25" t="n">
        <f aca="false">H5+D6+E6+F6+G6</f>
        <v>25428.505</v>
      </c>
      <c r="I6" s="25" t="n">
        <f aca="false">MIN(Input!$B$44,E6+F6)-MIN(Input!$B$44,F6+C6*Input!$B$47)</f>
        <v>2000</v>
      </c>
      <c r="J6" s="25" t="n">
        <f aca="false">E6+F6-MIN(Input!$B$44,E6+F6)</f>
        <v>0</v>
      </c>
      <c r="K6" s="25" t="n">
        <f aca="false">(D6+MIN(Input!$B$44,E6+F6))*(1+Input!$B$17)^(A6-Input!$B$36)</f>
        <v>3853.92703579977</v>
      </c>
      <c r="L6" s="25" t="n">
        <f aca="false">C6*0.0691</f>
        <v>3156.1425</v>
      </c>
      <c r="M6" s="25" t="n">
        <f aca="false">IF(B6&lt;Input!$B$6,M5*(1+Input!$B$49)+L6,M5)</f>
        <v>14357.6276605152</v>
      </c>
      <c r="N6" s="25" t="n">
        <f aca="false">IF(B6&lt;Input!$B$6,N5*(1+Input!$B$28)+L6,N5)</f>
        <v>14748.38</v>
      </c>
      <c r="O6" s="25" t="n">
        <f aca="false">L6*(1+Input!$B$17)^(A6-Input!$B$36)</f>
        <v>2082.34649578823</v>
      </c>
    </row>
    <row r="7" customFormat="false" ht="15" hidden="false" customHeight="true" outlineLevel="0" collapsed="false">
      <c r="A7" s="23" t="n">
        <v>2</v>
      </c>
      <c r="B7" s="24" t="n">
        <f aca="false">Input!$B$5+A7</f>
        <v>47</v>
      </c>
      <c r="C7" s="25" t="n">
        <f aca="false">IF(B7&lt;Input!$B$6, Input!$B$10*(1+Input!$B$12)^A7, 0)</f>
        <v>46360.125</v>
      </c>
      <c r="D7" s="25" t="n">
        <f aca="false">C7*0.0691*Input!$B$21</f>
        <v>3203.4846375</v>
      </c>
      <c r="E7" s="25" t="n">
        <f aca="false">IF(B7&lt;Input!$B$6,Input!$B$26+C7*Input!$B$47,0)</f>
        <v>2000</v>
      </c>
      <c r="F7" s="25" t="n">
        <f aca="false">C7*Input!$B$27</f>
        <v>695.401875</v>
      </c>
      <c r="G7" s="25" t="n">
        <f aca="false">H6*Input!$B$28</f>
        <v>635.712625</v>
      </c>
      <c r="H7" s="25" t="n">
        <f aca="false">H6+D7+E7+F7+G7</f>
        <v>31963.1041375</v>
      </c>
      <c r="I7" s="25" t="n">
        <f aca="false">MIN(Input!$B$44,E7+F7)-MIN(Input!$B$44,F7+C7*Input!$B$47)</f>
        <v>2000</v>
      </c>
      <c r="J7" s="25" t="n">
        <f aca="false">E7+F7-MIN(Input!$B$44,E7+F7)</f>
        <v>0</v>
      </c>
      <c r="K7" s="25" t="n">
        <f aca="false">(D7+MIN(Input!$B$44,E7+F7))*(1+Input!$B$17)^(A7-Input!$B$36)</f>
        <v>3969.78152017026</v>
      </c>
      <c r="L7" s="25" t="n">
        <f aca="false">C7*0.0691</f>
        <v>3203.4846375</v>
      </c>
      <c r="M7" s="25" t="n">
        <f aca="false">IF(B7&lt;Input!$B$6,M6*(1+Input!$B$49)+L7,M6)</f>
        <v>17630.0852152079</v>
      </c>
      <c r="N7" s="25" t="n">
        <f aca="false">IF(B7&lt;Input!$B$6,N6*(1+Input!$B$28)+L7,N6)</f>
        <v>18320.5741375</v>
      </c>
      <c r="O7" s="25" t="n">
        <f aca="false">L7*(1+Input!$B$17)^(A7-Input!$B$36)</f>
        <v>2155.85332708956</v>
      </c>
    </row>
    <row r="8" customFormat="false" ht="15" hidden="false" customHeight="true" outlineLevel="0" collapsed="false">
      <c r="A8" s="23" t="n">
        <v>3</v>
      </c>
      <c r="B8" s="24" t="n">
        <f aca="false">Input!$B$5+A8</f>
        <v>48</v>
      </c>
      <c r="C8" s="25" t="n">
        <f aca="false">IF(B8&lt;Input!$B$6, Input!$B$10*(1+Input!$B$12)^A8, 0)</f>
        <v>47055.526875</v>
      </c>
      <c r="D8" s="25" t="n">
        <f aca="false">C8*0.0691*Input!$B$21</f>
        <v>3251.5369070625</v>
      </c>
      <c r="E8" s="25" t="n">
        <f aca="false">IF(B8&lt;Input!$B$6,Input!$B$26+C8*Input!$B$47,0)</f>
        <v>2000</v>
      </c>
      <c r="F8" s="25" t="n">
        <f aca="false">C8*Input!$B$27</f>
        <v>705.832903125</v>
      </c>
      <c r="G8" s="25" t="n">
        <f aca="false">H7*Input!$B$28</f>
        <v>799.0776034375</v>
      </c>
      <c r="H8" s="25" t="n">
        <f aca="false">H7+D8+E8+F8+G8</f>
        <v>38719.551551125</v>
      </c>
      <c r="I8" s="25" t="n">
        <f aca="false">MIN(Input!$B$44,E8+F8)-MIN(Input!$B$44,F8+C8*Input!$B$47)</f>
        <v>2000</v>
      </c>
      <c r="J8" s="25" t="n">
        <f aca="false">E8+F8-MIN(Input!$B$44,E8+F8)</f>
        <v>0</v>
      </c>
      <c r="K8" s="25" t="n">
        <f aca="false">(D8+MIN(Input!$B$44,E8+F8))*(1+Input!$B$17)^(A8-Input!$B$36)</f>
        <v>4089.32188503917</v>
      </c>
      <c r="L8" s="25" t="n">
        <f aca="false">C8*0.0691</f>
        <v>3251.5369070625</v>
      </c>
      <c r="M8" s="25" t="n">
        <f aca="false">IF(B8&lt;Input!$B$6,M7*(1+Input!$B$49)+L8,M7)</f>
        <v>20966.3156688924</v>
      </c>
      <c r="N8" s="25" t="n">
        <f aca="false">IF(B8&lt;Input!$B$6,N7*(1+Input!$B$28)+L8,N7)</f>
        <v>22030.125398</v>
      </c>
      <c r="O8" s="25" t="n">
        <f aca="false">L8*(1+Input!$B$17)^(A8-Input!$B$36)</f>
        <v>2231.95494953582</v>
      </c>
    </row>
    <row r="9" customFormat="false" ht="15" hidden="false" customHeight="true" outlineLevel="0" collapsed="false">
      <c r="A9" s="23" t="n">
        <v>4</v>
      </c>
      <c r="B9" s="24" t="n">
        <f aca="false">Input!$B$5+A9</f>
        <v>49</v>
      </c>
      <c r="C9" s="25" t="n">
        <f aca="false">IF(B9&lt;Input!$B$6, Input!$B$10*(1+Input!$B$12)^A9, 0)</f>
        <v>47761.359778125</v>
      </c>
      <c r="D9" s="25" t="n">
        <f aca="false">C9*0.0691*Input!$B$21</f>
        <v>3300.30996066844</v>
      </c>
      <c r="E9" s="25" t="n">
        <f aca="false">IF(B9&lt;Input!$B$6,Input!$B$26+C9*Input!$B$47,0)</f>
        <v>2000</v>
      </c>
      <c r="F9" s="25" t="n">
        <f aca="false">C9*Input!$B$27</f>
        <v>716.420396671875</v>
      </c>
      <c r="G9" s="25" t="n">
        <f aca="false">H8*Input!$B$28</f>
        <v>967.988788778125</v>
      </c>
      <c r="H9" s="25" t="n">
        <f aca="false">H8+D9+E9+F9+G9</f>
        <v>45704.2706972434</v>
      </c>
      <c r="I9" s="25" t="n">
        <f aca="false">MIN(Input!$B$44,E9+F9)-MIN(Input!$B$44,F9+C9*Input!$B$47)</f>
        <v>2000</v>
      </c>
      <c r="J9" s="25" t="n">
        <f aca="false">E9+F9-MIN(Input!$B$44,E9+F9)</f>
        <v>0</v>
      </c>
      <c r="K9" s="25" t="n">
        <f aca="false">(D9+MIN(Input!$B$44,E9+F9))*(1+Input!$B$17)^(A9-Input!$B$36)</f>
        <v>4212.67016633208</v>
      </c>
      <c r="L9" s="25" t="n">
        <f aca="false">C9*0.0691</f>
        <v>3300.30996066844</v>
      </c>
      <c r="M9" s="25" t="n">
        <f aca="false">IF(B9&lt;Input!$B$6,M8*(1+Input!$B$49)+L9,M8)</f>
        <v>24367.3461656173</v>
      </c>
      <c r="N9" s="25" t="n">
        <f aca="false">IF(B9&lt;Input!$B$6,N8*(1+Input!$B$28)+L9,N8)</f>
        <v>25881.1884936184</v>
      </c>
      <c r="O9" s="25" t="n">
        <f aca="false">L9*(1+Input!$B$17)^(A9-Input!$B$36)</f>
        <v>2310.74295925443</v>
      </c>
    </row>
    <row r="10" customFormat="false" ht="15" hidden="false" customHeight="true" outlineLevel="0" collapsed="false">
      <c r="A10" s="23" t="n">
        <v>5</v>
      </c>
      <c r="B10" s="24" t="n">
        <f aca="false">Input!$B$5+A10</f>
        <v>50</v>
      </c>
      <c r="C10" s="25" t="n">
        <f aca="false">IF(B10&lt;Input!$B$6, Input!$B$10*(1+Input!$B$12)^A10, 0)</f>
        <v>48477.7801747969</v>
      </c>
      <c r="D10" s="25" t="n">
        <f aca="false">C10*0.0691*Input!$B$21</f>
        <v>3349.81461007846</v>
      </c>
      <c r="E10" s="25" t="n">
        <f aca="false">IF(B10&lt;Input!$B$6,Input!$B$26+C10*Input!$B$47,0)</f>
        <v>2000</v>
      </c>
      <c r="F10" s="25" t="n">
        <f aca="false">C10*Input!$B$27</f>
        <v>727.166702621953</v>
      </c>
      <c r="G10" s="25" t="n">
        <f aca="false">H9*Input!$B$28</f>
        <v>1142.60676743109</v>
      </c>
      <c r="H10" s="25" t="n">
        <f aca="false">H9+D10+E10+F10+G10</f>
        <v>52923.8587773749</v>
      </c>
      <c r="I10" s="25" t="n">
        <f aca="false">MIN(Input!$B$44,E10+F10)-MIN(Input!$B$44,F10+C10*Input!$B$47)</f>
        <v>2000</v>
      </c>
      <c r="J10" s="25" t="n">
        <f aca="false">E10+F10-MIN(Input!$B$44,E10+F10)</f>
        <v>0</v>
      </c>
      <c r="K10" s="25" t="n">
        <f aca="false">(D10+MIN(Input!$B$44,E10+F10))*(1+Input!$B$17)^(A10-Input!$B$36)</f>
        <v>4339.95254632966</v>
      </c>
      <c r="L10" s="25" t="n">
        <f aca="false">C10*0.0691</f>
        <v>3349.81461007846</v>
      </c>
      <c r="M10" s="25" t="n">
        <f aca="false">IF(B10&lt;Input!$B$6,M9*(1+Input!$B$49)+L10,M9)</f>
        <v>27834.219595511</v>
      </c>
      <c r="N10" s="25" t="n">
        <f aca="false">IF(B10&lt;Input!$B$6,N9*(1+Input!$B$28)+L10,N9)</f>
        <v>29878.0328160374</v>
      </c>
      <c r="O10" s="25" t="n">
        <f aca="false">L10*(1+Input!$B$17)^(A10-Input!$B$36)</f>
        <v>2392.31218571611</v>
      </c>
    </row>
    <row r="11" customFormat="false" ht="15" hidden="false" customHeight="true" outlineLevel="0" collapsed="false">
      <c r="A11" s="23" t="n">
        <v>6</v>
      </c>
      <c r="B11" s="24" t="n">
        <f aca="false">Input!$B$5+A11</f>
        <v>51</v>
      </c>
      <c r="C11" s="25" t="n">
        <f aca="false">IF(B11&lt;Input!$B$6, Input!$B$10*(1+Input!$B$12)^A11, 0)</f>
        <v>49204.9468774188</v>
      </c>
      <c r="D11" s="25" t="n">
        <f aca="false">C11*0.0691*Input!$B$21</f>
        <v>3400.06182922964</v>
      </c>
      <c r="E11" s="25" t="n">
        <f aca="false">IF(B11&lt;Input!$B$6,Input!$B$26+C11*Input!$B$47,0)</f>
        <v>2000</v>
      </c>
      <c r="F11" s="25" t="n">
        <f aca="false">C11*Input!$B$27</f>
        <v>738.074203161282</v>
      </c>
      <c r="G11" s="25" t="n">
        <f aca="false">H10*Input!$B$28</f>
        <v>1323.09646943437</v>
      </c>
      <c r="H11" s="25" t="n">
        <f aca="false">H10+D11+E11+F11+G11</f>
        <v>60385.0912792002</v>
      </c>
      <c r="I11" s="25" t="n">
        <f aca="false">MIN(Input!$B$44,E11+F11)-MIN(Input!$B$44,F11+C11*Input!$B$47)</f>
        <v>2000</v>
      </c>
      <c r="J11" s="25" t="n">
        <f aca="false">E11+F11-MIN(Input!$B$44,E11+F11)</f>
        <v>0</v>
      </c>
      <c r="K11" s="25" t="n">
        <f aca="false">(D11+MIN(Input!$B$44,E11+F11))*(1+Input!$B$17)^(A11-Input!$B$36)</f>
        <v>4471.29949680367</v>
      </c>
      <c r="L11" s="25" t="n">
        <f aca="false">C11*0.0691</f>
        <v>3400.06182922964</v>
      </c>
      <c r="M11" s="25" t="n">
        <f aca="false">IF(B11&lt;Input!$B$6,M10*(1+Input!$B$49)+L11,M10)</f>
        <v>31367.9948326014</v>
      </c>
      <c r="N11" s="25" t="n">
        <f aca="false">IF(B11&lt;Input!$B$6,N10*(1+Input!$B$28)+L11,N10)</f>
        <v>34025.0454656679</v>
      </c>
      <c r="O11" s="25" t="n">
        <f aca="false">L11*(1+Input!$B$17)^(A11-Input!$B$36)</f>
        <v>2476.76080587189</v>
      </c>
    </row>
    <row r="12" customFormat="false" ht="15" hidden="false" customHeight="true" outlineLevel="0" collapsed="false">
      <c r="A12" s="23" t="n">
        <v>7</v>
      </c>
      <c r="B12" s="24" t="n">
        <f aca="false">Input!$B$5+A12</f>
        <v>52</v>
      </c>
      <c r="C12" s="25" t="n">
        <f aca="false">IF(B12&lt;Input!$B$6, Input!$B$10*(1+Input!$B$12)^A12, 0)</f>
        <v>49943.0210805801</v>
      </c>
      <c r="D12" s="25" t="n">
        <f aca="false">C12*0.0691*Input!$B$21</f>
        <v>3451.06275666808</v>
      </c>
      <c r="E12" s="25" t="n">
        <f aca="false">IF(B12&lt;Input!$B$6,Input!$B$26+C12*Input!$B$47,0)</f>
        <v>2000</v>
      </c>
      <c r="F12" s="25" t="n">
        <f aca="false">C12*Input!$B$27</f>
        <v>749.145316208701</v>
      </c>
      <c r="G12" s="25" t="n">
        <f aca="false">H11*Input!$B$28</f>
        <v>1509.62728198001</v>
      </c>
      <c r="H12" s="25" t="n">
        <f aca="false">H11+D12+E12+F12+G12</f>
        <v>68094.926634057</v>
      </c>
      <c r="I12" s="25" t="n">
        <f aca="false">MIN(Input!$B$44,E12+F12)-MIN(Input!$B$44,F12+C12*Input!$B$47)</f>
        <v>2000</v>
      </c>
      <c r="J12" s="25" t="n">
        <f aca="false">E12+F12-MIN(Input!$B$44,E12+F12)</f>
        <v>0</v>
      </c>
      <c r="K12" s="25" t="n">
        <f aca="false">(D12+MIN(Input!$B$44,E12+F12))*(1+Input!$B$17)^(A12-Input!$B$36)</f>
        <v>4606.84592714118</v>
      </c>
      <c r="L12" s="25" t="n">
        <f aca="false">C12*0.0691</f>
        <v>3451.06275666808</v>
      </c>
      <c r="M12" s="25" t="n">
        <f aca="false">IF(B12&lt;Input!$B$6,M11*(1+Input!$B$49)+L12,M11)</f>
        <v>34969.7469762104</v>
      </c>
      <c r="N12" s="25" t="n">
        <f aca="false">IF(B12&lt;Input!$B$6,N11*(1+Input!$B$28)+L12,N11)</f>
        <v>38326.7343589777</v>
      </c>
      <c r="O12" s="25" t="n">
        <f aca="false">L12*(1+Input!$B$17)^(A12-Input!$B$36)</f>
        <v>2564.19046231917</v>
      </c>
    </row>
    <row r="13" customFormat="false" ht="15" hidden="false" customHeight="true" outlineLevel="0" collapsed="false">
      <c r="A13" s="23" t="n">
        <v>8</v>
      </c>
      <c r="B13" s="24" t="n">
        <f aca="false">Input!$B$5+A13</f>
        <v>53</v>
      </c>
      <c r="C13" s="25" t="n">
        <f aca="false">IF(B13&lt;Input!$B$6, Input!$B$10*(1+Input!$B$12)^A13, 0)</f>
        <v>50692.1663967888</v>
      </c>
      <c r="D13" s="25" t="n">
        <f aca="false">C13*0.0691*Input!$B$21</f>
        <v>3502.8286980181</v>
      </c>
      <c r="E13" s="25" t="n">
        <f aca="false">IF(B13&lt;Input!$B$6,Input!$B$26+C13*Input!$B$47,0)</f>
        <v>2000</v>
      </c>
      <c r="F13" s="25" t="n">
        <f aca="false">C13*Input!$B$27</f>
        <v>760.382495951832</v>
      </c>
      <c r="G13" s="25" t="n">
        <f aca="false">H12*Input!$B$28</f>
        <v>1702.37316585143</v>
      </c>
      <c r="H13" s="25" t="n">
        <f aca="false">H12+D13+E13+F13+G13</f>
        <v>76060.5109938784</v>
      </c>
      <c r="I13" s="25" t="n">
        <f aca="false">MIN(Input!$B$44,E13+F13)-MIN(Input!$B$44,F13+C13*Input!$B$47)</f>
        <v>2000</v>
      </c>
      <c r="J13" s="25" t="n">
        <f aca="false">E13+F13-MIN(Input!$B$44,E13+F13)</f>
        <v>0</v>
      </c>
      <c r="K13" s="25" t="n">
        <f aca="false">(D13+MIN(Input!$B$44,E13+F13))*(1+Input!$B$17)^(A13-Input!$B$36)</f>
        <v>4746.73133763161</v>
      </c>
      <c r="L13" s="25" t="n">
        <f aca="false">C13*0.0691</f>
        <v>3502.8286980181</v>
      </c>
      <c r="M13" s="25" t="n">
        <f aca="false">IF(B13&lt;Input!$B$6,M12*(1+Input!$B$49)+L13,M12)</f>
        <v>38640.567595977</v>
      </c>
      <c r="N13" s="25" t="n">
        <f aca="false">IF(B13&lt;Input!$B$6,N12*(1+Input!$B$28)+L13,N12)</f>
        <v>42787.7314159703</v>
      </c>
      <c r="O13" s="25" t="n">
        <f aca="false">L13*(1+Input!$B$17)^(A13-Input!$B$36)</f>
        <v>2654.70638563904</v>
      </c>
    </row>
    <row r="14" customFormat="false" ht="15" hidden="false" customHeight="true" outlineLevel="0" collapsed="false">
      <c r="A14" s="23" t="n">
        <v>9</v>
      </c>
      <c r="B14" s="24" t="n">
        <f aca="false">Input!$B$5+A14</f>
        <v>54</v>
      </c>
      <c r="C14" s="25" t="n">
        <f aca="false">IF(B14&lt;Input!$B$6, Input!$B$10*(1+Input!$B$12)^A14, 0)</f>
        <v>51452.5488927406</v>
      </c>
      <c r="D14" s="25" t="n">
        <f aca="false">C14*0.0691*Input!$B$21</f>
        <v>3555.37112848838</v>
      </c>
      <c r="E14" s="25" t="n">
        <f aca="false">IF(B14&lt;Input!$B$6,Input!$B$26+C14*Input!$B$47,0)</f>
        <v>2000</v>
      </c>
      <c r="F14" s="25" t="n">
        <f aca="false">C14*Input!$B$27</f>
        <v>771.788233391109</v>
      </c>
      <c r="G14" s="25" t="n">
        <f aca="false">H13*Input!$B$28</f>
        <v>1901.51277484696</v>
      </c>
      <c r="H14" s="25" t="n">
        <f aca="false">H13+D14+E14+F14+G14</f>
        <v>84289.1831306048</v>
      </c>
      <c r="I14" s="25" t="n">
        <f aca="false">MIN(Input!$B$44,E14+F14)-MIN(Input!$B$44,F14+C14*Input!$B$47)</f>
        <v>2000</v>
      </c>
      <c r="J14" s="25" t="n">
        <f aca="false">E14+F14-MIN(Input!$B$44,E14+F14)</f>
        <v>0</v>
      </c>
      <c r="K14" s="25" t="n">
        <f aca="false">(D14+MIN(Input!$B$44,E14+F14))*(1+Input!$B$17)^(A14-Input!$B$36)</f>
        <v>4891.09997809761</v>
      </c>
      <c r="L14" s="25" t="n">
        <f aca="false">C14*0.0691</f>
        <v>3555.37112848838</v>
      </c>
      <c r="M14" s="25" t="n">
        <f aca="false">IF(B14&lt;Input!$B$6,M13*(1+Input!$B$49)+L14,M13)</f>
        <v>42381.5649805637</v>
      </c>
      <c r="N14" s="25" t="n">
        <f aca="false">IF(B14&lt;Input!$B$6,N13*(1+Input!$B$28)+L14,N13)</f>
        <v>47412.7958298579</v>
      </c>
      <c r="O14" s="25" t="n">
        <f aca="false">L14*(1+Input!$B$17)^(A14-Input!$B$36)</f>
        <v>2748.41752105209</v>
      </c>
    </row>
    <row r="15" customFormat="false" ht="15" hidden="false" customHeight="true" outlineLevel="0" collapsed="false">
      <c r="A15" s="23" t="n">
        <v>10</v>
      </c>
      <c r="B15" s="24" t="n">
        <f aca="false">Input!$B$5+A15</f>
        <v>55</v>
      </c>
      <c r="C15" s="25" t="n">
        <f aca="false">IF(B15&lt;Input!$B$6, Input!$B$10*(1+Input!$B$12)^A15, 0)</f>
        <v>52224.3371261317</v>
      </c>
      <c r="D15" s="25" t="n">
        <f aca="false">C15*0.0691*Input!$B$21</f>
        <v>3608.7016954157</v>
      </c>
      <c r="E15" s="25" t="n">
        <f aca="false">IF(B15&lt;Input!$B$6,Input!$B$26+C15*Input!$B$47,0)</f>
        <v>2000</v>
      </c>
      <c r="F15" s="25" t="n">
        <f aca="false">C15*Input!$B$27</f>
        <v>783.365056891976</v>
      </c>
      <c r="G15" s="25" t="n">
        <f aca="false">H14*Input!$B$28</f>
        <v>2107.22957826512</v>
      </c>
      <c r="H15" s="25" t="n">
        <f aca="false">H14+D15+E15+F15+G15</f>
        <v>92788.4794611776</v>
      </c>
      <c r="I15" s="25" t="n">
        <f aca="false">MIN(Input!$B$44,E15+F15)-MIN(Input!$B$44,F15+C15*Input!$B$47)</f>
        <v>2000</v>
      </c>
      <c r="J15" s="25" t="n">
        <f aca="false">E15+F15-MIN(Input!$B$44,E15+F15)</f>
        <v>0</v>
      </c>
      <c r="K15" s="25" t="n">
        <f aca="false">(D15+MIN(Input!$B$44,E15+F15))*(1+Input!$B$17)^(A15-Input!$B$36)</f>
        <v>5040.101012057</v>
      </c>
      <c r="L15" s="25" t="n">
        <f aca="false">C15*0.0691</f>
        <v>3608.7016954157</v>
      </c>
      <c r="M15" s="25" t="n">
        <f aca="false">IF(B15&lt;Input!$B$6,M14*(1+Input!$B$49)+L15,M14)</f>
        <v>46193.8643901017</v>
      </c>
      <c r="N15" s="25" t="n">
        <f aca="false">IF(B15&lt;Input!$B$6,N14*(1+Input!$B$28)+L15,N14)</f>
        <v>52206.81742102</v>
      </c>
      <c r="O15" s="25" t="n">
        <f aca="false">L15*(1+Input!$B$17)^(A15-Input!$B$36)</f>
        <v>2845.43665954523</v>
      </c>
    </row>
    <row r="16" customFormat="false" ht="15" hidden="false" customHeight="true" outlineLevel="0" collapsed="false">
      <c r="A16" s="23" t="n">
        <v>11</v>
      </c>
      <c r="B16" s="24" t="n">
        <f aca="false">Input!$B$5+A16</f>
        <v>56</v>
      </c>
      <c r="C16" s="25" t="n">
        <f aca="false">IF(B16&lt;Input!$B$6, Input!$B$10*(1+Input!$B$12)^A16, 0)</f>
        <v>53007.7021830237</v>
      </c>
      <c r="D16" s="25" t="n">
        <f aca="false">C16*0.0691*Input!$B$21</f>
        <v>3662.83222084694</v>
      </c>
      <c r="E16" s="25" t="n">
        <f aca="false">IF(B16&lt;Input!$B$6,Input!$B$26+C16*Input!$B$47,0)</f>
        <v>2000</v>
      </c>
      <c r="F16" s="25" t="n">
        <f aca="false">C16*Input!$B$27</f>
        <v>795.115532745355</v>
      </c>
      <c r="G16" s="25" t="n">
        <f aca="false">H15*Input!$B$28</f>
        <v>2319.71198652944</v>
      </c>
      <c r="H16" s="25" t="n">
        <f aca="false">H15+D16+E16+F16+G16</f>
        <v>101566.139201299</v>
      </c>
      <c r="I16" s="25" t="n">
        <f aca="false">MIN(Input!$B$44,E16+F16)-MIN(Input!$B$44,F16+C16*Input!$B$47)</f>
        <v>2000</v>
      </c>
      <c r="J16" s="25" t="n">
        <f aca="false">E16+F16-MIN(Input!$B$44,E16+F16)</f>
        <v>0</v>
      </c>
      <c r="K16" s="25" t="n">
        <f aca="false">(D16+MIN(Input!$B$44,E16+F16))*(1+Input!$B$17)^(A16-Input!$B$36)</f>
        <v>5193.88868660982</v>
      </c>
      <c r="L16" s="25" t="n">
        <f aca="false">C16*0.0691</f>
        <v>3662.83222084694</v>
      </c>
      <c r="M16" s="25" t="n">
        <f aca="false">IF(B16&lt;Input!$B$6,M15*(1+Input!$B$49)+L16,M15)</f>
        <v>50078.6083124305</v>
      </c>
      <c r="N16" s="25" t="n">
        <f aca="false">IF(B16&lt;Input!$B$6,N15*(1+Input!$B$28)+L16,N15)</f>
        <v>57174.8200773925</v>
      </c>
      <c r="O16" s="25" t="n">
        <f aca="false">L16*(1+Input!$B$17)^(A16-Input!$B$36)</f>
        <v>2945.88057362718</v>
      </c>
    </row>
    <row r="17" customFormat="false" ht="15" hidden="false" customHeight="true" outlineLevel="0" collapsed="false">
      <c r="A17" s="23" t="n">
        <v>12</v>
      </c>
      <c r="B17" s="24" t="n">
        <f aca="false">Input!$B$5+A17</f>
        <v>57</v>
      </c>
      <c r="C17" s="25" t="n">
        <f aca="false">IF(B17&lt;Input!$B$6, Input!$B$10*(1+Input!$B$12)^A17, 0)</f>
        <v>53802.817715769</v>
      </c>
      <c r="D17" s="25" t="n">
        <f aca="false">C17*0.0691*Input!$B$21</f>
        <v>3717.77470415964</v>
      </c>
      <c r="E17" s="25" t="n">
        <f aca="false">IF(B17&lt;Input!$B$6,Input!$B$26+C17*Input!$B$47,0)</f>
        <v>2000</v>
      </c>
      <c r="F17" s="25" t="n">
        <f aca="false">C17*Input!$B$27</f>
        <v>807.042265736536</v>
      </c>
      <c r="G17" s="25" t="n">
        <f aca="false">H16*Input!$B$28</f>
        <v>2539.15348003248</v>
      </c>
      <c r="H17" s="25" t="n">
        <f aca="false">H16+D17+E17+F17+G17</f>
        <v>110630.109651228</v>
      </c>
      <c r="I17" s="25" t="n">
        <f aca="false">MIN(Input!$B$44,E17+F17)-MIN(Input!$B$44,F17+C17*Input!$B$47)</f>
        <v>2000</v>
      </c>
      <c r="J17" s="25" t="n">
        <f aca="false">E17+F17-MIN(Input!$B$44,E17+F17)</f>
        <v>0</v>
      </c>
      <c r="K17" s="25" t="n">
        <f aca="false">(D17+MIN(Input!$B$44,E17+F17))*(1+Input!$B$17)^(A17-Input!$B$36)</f>
        <v>5352.62250825089</v>
      </c>
      <c r="L17" s="25" t="n">
        <f aca="false">C17*0.0691</f>
        <v>3717.77470415964</v>
      </c>
      <c r="M17" s="25" t="n">
        <f aca="false">IF(B17&lt;Input!$B$6,M16*(1+Input!$B$49)+L17,M16)</f>
        <v>54036.956723189</v>
      </c>
      <c r="N17" s="25" t="n">
        <f aca="false">IF(B17&lt;Input!$B$6,N16*(1+Input!$B$28)+L17,N16)</f>
        <v>62321.9652834869</v>
      </c>
      <c r="O17" s="25" t="n">
        <f aca="false">L17*(1+Input!$B$17)^(A17-Input!$B$36)</f>
        <v>3049.87015787622</v>
      </c>
    </row>
    <row r="18" customFormat="false" ht="15" hidden="false" customHeight="true" outlineLevel="0" collapsed="false">
      <c r="A18" s="23" t="n">
        <v>13</v>
      </c>
      <c r="B18" s="24" t="n">
        <f aca="false">Input!$B$5+A18</f>
        <v>58</v>
      </c>
      <c r="C18" s="25" t="n">
        <f aca="false">IF(B18&lt;Input!$B$6, Input!$B$10*(1+Input!$B$12)^A18, 0)</f>
        <v>54609.8599815056</v>
      </c>
      <c r="D18" s="25" t="n">
        <f aca="false">C18*0.0691*Input!$B$21</f>
        <v>3773.54132472203</v>
      </c>
      <c r="E18" s="25" t="n">
        <f aca="false">IF(B18&lt;Input!$B$6,Input!$B$26+C18*Input!$B$47,0)</f>
        <v>2000</v>
      </c>
      <c r="F18" s="25" t="n">
        <f aca="false">C18*Input!$B$27</f>
        <v>819.147899722583</v>
      </c>
      <c r="G18" s="25" t="n">
        <f aca="false">H17*Input!$B$28</f>
        <v>2765.7527412807</v>
      </c>
      <c r="H18" s="25" t="n">
        <f aca="false">H17+D18+E18+F18+G18</f>
        <v>119988.551616953</v>
      </c>
      <c r="I18" s="25" t="n">
        <f aca="false">MIN(Input!$B$44,E18+F18)-MIN(Input!$B$44,F18+C18*Input!$B$47)</f>
        <v>2000</v>
      </c>
      <c r="J18" s="25" t="n">
        <f aca="false">E18+F18-MIN(Input!$B$44,E18+F18)</f>
        <v>0</v>
      </c>
      <c r="K18" s="25" t="n">
        <f aca="false">(D18+MIN(Input!$B$44,E18+F18))*(1+Input!$B$17)^(A18-Input!$B$36)</f>
        <v>5516.46742481596</v>
      </c>
      <c r="L18" s="25" t="n">
        <f aca="false">C18*0.0691</f>
        <v>3773.54132472203</v>
      </c>
      <c r="M18" s="25" t="n">
        <f aca="false">IF(B18&lt;Input!$B$6,M17*(1+Input!$B$49)+L18,M17)</f>
        <v>58070.0873498166</v>
      </c>
      <c r="N18" s="25" t="n">
        <f aca="false">IF(B18&lt;Input!$B$6,N17*(1+Input!$B$28)+L18,N17)</f>
        <v>67653.5557402961</v>
      </c>
      <c r="O18" s="25" t="n">
        <f aca="false">L18*(1+Input!$B$17)^(A18-Input!$B$36)</f>
        <v>3157.53057444925</v>
      </c>
    </row>
    <row r="19" customFormat="false" ht="15" hidden="false" customHeight="true" outlineLevel="0" collapsed="false">
      <c r="A19" s="23" t="n">
        <v>14</v>
      </c>
      <c r="B19" s="24" t="n">
        <f aca="false">Input!$B$5+A19</f>
        <v>59</v>
      </c>
      <c r="C19" s="25" t="n">
        <f aca="false">IF(B19&lt;Input!$B$6, Input!$B$10*(1+Input!$B$12)^A19, 0)</f>
        <v>55429.0078812281</v>
      </c>
      <c r="D19" s="25" t="n">
        <f aca="false">C19*0.0691*Input!$B$21</f>
        <v>3830.14444459286</v>
      </c>
      <c r="E19" s="25" t="n">
        <f aca="false">IF(B19&lt;Input!$B$6,Input!$B$26+C19*Input!$B$47,0)</f>
        <v>2000</v>
      </c>
      <c r="F19" s="25" t="n">
        <f aca="false">C19*Input!$B$27</f>
        <v>831.435118218422</v>
      </c>
      <c r="G19" s="25" t="n">
        <f aca="false">H18*Input!$B$28</f>
        <v>2999.71379042383</v>
      </c>
      <c r="H19" s="25" t="n">
        <f aca="false">H18+D19+E19+F19+G19</f>
        <v>129649.844970188</v>
      </c>
      <c r="I19" s="25" t="n">
        <f aca="false">MIN(Input!$B$44,E19+F19)-MIN(Input!$B$44,F19+C19*Input!$B$47)</f>
        <v>2000</v>
      </c>
      <c r="J19" s="25" t="n">
        <f aca="false">E19+F19-MIN(Input!$B$44,E19+F19)</f>
        <v>0</v>
      </c>
      <c r="K19" s="25" t="n">
        <f aca="false">(D19+MIN(Input!$B$44,E19+F19))*(1+Input!$B$17)^(A19-Input!$B$36)</f>
        <v>5685.59401377626</v>
      </c>
      <c r="L19" s="25" t="n">
        <f aca="false">C19*0.0691</f>
        <v>3830.14444459286</v>
      </c>
      <c r="M19" s="25" t="n">
        <f aca="false">IF(B19&lt;Input!$B$6,M18*(1+Input!$B$49)+L19,M18)</f>
        <v>62179.1959395213</v>
      </c>
      <c r="N19" s="25" t="n">
        <f aca="false">IF(B19&lt;Input!$B$6,N18*(1+Input!$B$28)+L19,N18)</f>
        <v>73175.0390783964</v>
      </c>
      <c r="O19" s="25" t="n">
        <f aca="false">L19*(1+Input!$B$17)^(A19-Input!$B$36)</f>
        <v>3268.99140372731</v>
      </c>
    </row>
    <row r="20" customFormat="false" ht="15" hidden="false" customHeight="true" outlineLevel="0" collapsed="false">
      <c r="A20" s="23" t="n">
        <v>15</v>
      </c>
      <c r="B20" s="24" t="n">
        <f aca="false">Input!$B$5+A20</f>
        <v>60</v>
      </c>
      <c r="C20" s="25" t="n">
        <f aca="false">IF(B20&lt;Input!$B$6, Input!$B$10*(1+Input!$B$12)^A20, 0)</f>
        <v>56260.4429994466</v>
      </c>
      <c r="D20" s="25" t="n">
        <f aca="false">C20*0.0691*Input!$B$21</f>
        <v>3887.59661126176</v>
      </c>
      <c r="E20" s="25" t="n">
        <f aca="false">IF(B20&lt;Input!$B$6,Input!$B$26+C20*Input!$B$47,0)</f>
        <v>2000</v>
      </c>
      <c r="F20" s="25" t="n">
        <f aca="false">C20*Input!$B$27</f>
        <v>843.906644991698</v>
      </c>
      <c r="G20" s="25" t="n">
        <f aca="false">H19*Input!$B$28</f>
        <v>3241.24612425471</v>
      </c>
      <c r="H20" s="25" t="n">
        <f aca="false">H19+D20+E20+F20+G20</f>
        <v>139622.594350697</v>
      </c>
      <c r="I20" s="25" t="n">
        <f aca="false">MIN(Input!$B$44,E20+F20)-MIN(Input!$B$44,F20+C20*Input!$B$47)</f>
        <v>2000</v>
      </c>
      <c r="J20" s="25" t="n">
        <f aca="false">E20+F20-MIN(Input!$B$44,E20+F20)</f>
        <v>0</v>
      </c>
      <c r="K20" s="25" t="n">
        <f aca="false">(D20+MIN(Input!$B$44,E20+F20))*(1+Input!$B$17)^(A20-Input!$B$36)</f>
        <v>5860.17867710415</v>
      </c>
      <c r="L20" s="25" t="n">
        <f aca="false">C20*0.0691</f>
        <v>3887.59661126176</v>
      </c>
      <c r="M20" s="25" t="n">
        <f aca="false">IF(B20&lt;Input!$B$6,M19*(1+Input!$B$49)+L20,M19)</f>
        <v>66365.4965312768</v>
      </c>
      <c r="N20" s="25" t="n">
        <f aca="false">IF(B20&lt;Input!$B$6,N19*(1+Input!$B$28)+L20,N19)</f>
        <v>78892.011666618</v>
      </c>
      <c r="O20" s="25" t="n">
        <f aca="false">L20*(1+Input!$B$17)^(A20-Input!$B$36)</f>
        <v>3384.38680027888</v>
      </c>
    </row>
    <row r="21" customFormat="false" ht="15" hidden="false" customHeight="true" outlineLevel="0" collapsed="false">
      <c r="A21" s="23" t="n">
        <v>16</v>
      </c>
      <c r="B21" s="24" t="n">
        <f aca="false">Input!$B$5+A21</f>
        <v>61</v>
      </c>
      <c r="C21" s="25" t="n">
        <f aca="false">IF(B21&lt;Input!$B$6, Input!$B$10*(1+Input!$B$12)^A21, 0)</f>
        <v>57104.3496444382</v>
      </c>
      <c r="D21" s="25" t="n">
        <f aca="false">C21*0.0691*Input!$B$21</f>
        <v>3945.91056043068</v>
      </c>
      <c r="E21" s="25" t="n">
        <f aca="false">IF(B21&lt;Input!$B$6,Input!$B$26+C21*Input!$B$47,0)</f>
        <v>2000</v>
      </c>
      <c r="F21" s="25" t="n">
        <f aca="false">C21*Input!$B$27</f>
        <v>856.565244666574</v>
      </c>
      <c r="G21" s="25" t="n">
        <f aca="false">H20*Input!$B$28</f>
        <v>3490.56485876742</v>
      </c>
      <c r="H21" s="25" t="n">
        <f aca="false">H20+D21+E21+F21+G21</f>
        <v>149915.635014561</v>
      </c>
      <c r="I21" s="25" t="n">
        <f aca="false">MIN(Input!$B$44,E21+F21)-MIN(Input!$B$44,F21+C21*Input!$B$47)</f>
        <v>2000</v>
      </c>
      <c r="J21" s="25" t="n">
        <f aca="false">E21+F21-MIN(Input!$B$44,E21+F21)</f>
        <v>0</v>
      </c>
      <c r="K21" s="25" t="n">
        <f aca="false">(D21+MIN(Input!$B$44,E21+F21))*(1+Input!$B$17)^(A21-Input!$B$36)</f>
        <v>6040.40384294034</v>
      </c>
      <c r="L21" s="25" t="n">
        <f aca="false">C21*0.0691</f>
        <v>3945.91056043068</v>
      </c>
      <c r="M21" s="25" t="n">
        <f aca="false">IF(B21&lt;Input!$B$6,M20*(1+Input!$B$49)+L21,M20)</f>
        <v>70630.2217319068</v>
      </c>
      <c r="N21" s="25" t="n">
        <f aca="false">IF(B21&lt;Input!$B$6,N20*(1+Input!$B$28)+L21,N20)</f>
        <v>84810.2225187141</v>
      </c>
      <c r="O21" s="25" t="n">
        <f aca="false">L21*(1+Input!$B$17)^(A21-Input!$B$36)</f>
        <v>3503.85565432872</v>
      </c>
    </row>
    <row r="22" customFormat="false" ht="15" hidden="false" customHeight="true" outlineLevel="0" collapsed="false">
      <c r="A22" s="23" t="n">
        <v>17</v>
      </c>
      <c r="B22" s="24" t="n">
        <f aca="false">Input!$B$5+A22</f>
        <v>62</v>
      </c>
      <c r="C22" s="25" t="n">
        <f aca="false">IF(B22&lt;Input!$B$6, Input!$B$10*(1+Input!$B$12)^A22, 0)</f>
        <v>57960.9148891048</v>
      </c>
      <c r="D22" s="25" t="n">
        <f aca="false">C22*0.0691*Input!$B$21</f>
        <v>4005.09921883714</v>
      </c>
      <c r="E22" s="25" t="n">
        <f aca="false">IF(B22&lt;Input!$B$6,Input!$B$26+C22*Input!$B$47,0)</f>
        <v>2000</v>
      </c>
      <c r="F22" s="25" t="n">
        <f aca="false">C22*Input!$B$27</f>
        <v>869.413723336572</v>
      </c>
      <c r="G22" s="25" t="n">
        <f aca="false">H21*Input!$B$28</f>
        <v>3747.89087536403</v>
      </c>
      <c r="H22" s="25" t="n">
        <f aca="false">H21+D22+E22+F22+G22</f>
        <v>160538.038832099</v>
      </c>
      <c r="I22" s="25" t="n">
        <f aca="false">MIN(Input!$B$44,E22+F22)-MIN(Input!$B$44,F22+C22*Input!$B$47)</f>
        <v>2000</v>
      </c>
      <c r="J22" s="25" t="n">
        <f aca="false">E22+F22-MIN(Input!$B$44,E22+F22)</f>
        <v>0</v>
      </c>
      <c r="K22" s="25" t="n">
        <f aca="false">(D22+MIN(Input!$B$44,E22+F22))*(1+Input!$B$17)^(A22-Input!$B$36)</f>
        <v>6226.45817430124</v>
      </c>
      <c r="L22" s="25" t="n">
        <f aca="false">C22*0.0691</f>
        <v>4005.09921883714</v>
      </c>
      <c r="M22" s="25" t="n">
        <f aca="false">IF(B22&lt;Input!$B$6,M21*(1+Input!$B$49)+L22,M21)</f>
        <v>74974.6229963187</v>
      </c>
      <c r="N22" s="25" t="n">
        <f aca="false">IF(B22&lt;Input!$B$6,N21*(1+Input!$B$28)+L22,N21)</f>
        <v>90935.5773005191</v>
      </c>
      <c r="O22" s="25" t="n">
        <f aca="false">L22*(1+Input!$B$17)^(A22-Input!$B$36)</f>
        <v>3627.54175892653</v>
      </c>
    </row>
    <row r="23" customFormat="false" ht="15" hidden="false" customHeight="true" outlineLevel="0" collapsed="false">
      <c r="A23" s="23" t="n">
        <v>18</v>
      </c>
      <c r="B23" s="24" t="n">
        <f aca="false">Input!$B$5+A23</f>
        <v>63</v>
      </c>
      <c r="C23" s="25" t="n">
        <f aca="false">IF(B23&lt;Input!$B$6, Input!$B$10*(1+Input!$B$12)^A23, 0)</f>
        <v>58830.3286124414</v>
      </c>
      <c r="D23" s="25" t="n">
        <f aca="false">C23*0.0691*Input!$B$21</f>
        <v>4065.1757071197</v>
      </c>
      <c r="E23" s="25" t="n">
        <f aca="false">IF(B23&lt;Input!$B$6,Input!$B$26+C23*Input!$B$47,0)</f>
        <v>2000</v>
      </c>
      <c r="F23" s="25" t="n">
        <f aca="false">C23*Input!$B$27</f>
        <v>882.454929186621</v>
      </c>
      <c r="G23" s="25" t="n">
        <f aca="false">H22*Input!$B$28</f>
        <v>4013.45097080247</v>
      </c>
      <c r="H23" s="25" t="n">
        <f aca="false">H22+D23+E23+F23+G23</f>
        <v>171499.120439208</v>
      </c>
      <c r="I23" s="25" t="n">
        <f aca="false">MIN(Input!$B$44,E23+F23)-MIN(Input!$B$44,F23+C23*Input!$B$47)</f>
        <v>2000</v>
      </c>
      <c r="J23" s="25" t="n">
        <f aca="false">E23+F23-MIN(Input!$B$44,E23+F23)</f>
        <v>0</v>
      </c>
      <c r="K23" s="25" t="n">
        <f aca="false">(D23+MIN(Input!$B$44,E23+F23))*(1+Input!$B$17)^(A23-Input!$B$36)</f>
        <v>6418.53678507327</v>
      </c>
      <c r="L23" s="25" t="n">
        <f aca="false">C23*0.0691</f>
        <v>4065.1757071197</v>
      </c>
      <c r="M23" s="25" t="n">
        <f aca="false">IF(B23&lt;Input!$B$6,M22*(1+Input!$B$49)+L23,M22)</f>
        <v>79399.9709119502</v>
      </c>
      <c r="N23" s="25" t="n">
        <f aca="false">IF(B23&lt;Input!$B$6,N22*(1+Input!$B$28)+L23,N22)</f>
        <v>97274.1424401518</v>
      </c>
      <c r="O23" s="25" t="n">
        <f aca="false">L23*(1+Input!$B$17)^(A23-Input!$B$36)</f>
        <v>3755.59398301663</v>
      </c>
    </row>
    <row r="24" customFormat="false" ht="15" hidden="false" customHeight="true" outlineLevel="0" collapsed="false">
      <c r="A24" s="23" t="n">
        <v>19</v>
      </c>
      <c r="B24" s="24" t="n">
        <f aca="false">Input!$B$5+A24</f>
        <v>64</v>
      </c>
      <c r="C24" s="25" t="n">
        <f aca="false">IF(B24&lt;Input!$B$6, Input!$B$10*(1+Input!$B$12)^A24, 0)</f>
        <v>59712.783541628</v>
      </c>
      <c r="D24" s="25" t="n">
        <f aca="false">C24*0.0691*Input!$B$21</f>
        <v>4126.15334272649</v>
      </c>
      <c r="E24" s="25" t="n">
        <f aca="false">IF(B24&lt;Input!$B$6,Input!$B$26+C24*Input!$B$47,0)</f>
        <v>2000</v>
      </c>
      <c r="F24" s="25" t="n">
        <f aca="false">C24*Input!$B$27</f>
        <v>895.69175312442</v>
      </c>
      <c r="G24" s="25" t="n">
        <f aca="false">H23*Input!$B$28</f>
        <v>4287.47801098019</v>
      </c>
      <c r="H24" s="25" t="n">
        <f aca="false">H23+D24+E24+F24+G24</f>
        <v>182808.443546039</v>
      </c>
      <c r="I24" s="25" t="n">
        <f aca="false">MIN(Input!$B$44,E24+F24)-MIN(Input!$B$44,F24+C24*Input!$B$47)</f>
        <v>2000</v>
      </c>
      <c r="J24" s="25" t="n">
        <f aca="false">E24+F24-MIN(Input!$B$44,E24+F24)</f>
        <v>0</v>
      </c>
      <c r="K24" s="25" t="n">
        <f aca="false">(D24+MIN(Input!$B$44,E24+F24))*(1+Input!$B$17)^(A24-Input!$B$36)</f>
        <v>6616.84146354995</v>
      </c>
      <c r="L24" s="25" t="n">
        <f aca="false">C24*0.0691</f>
        <v>4126.15334272649</v>
      </c>
      <c r="M24" s="25" t="n">
        <f aca="false">IF(B24&lt;Input!$B$6,M23*(1+Input!$B$49)+L24,M23)</f>
        <v>83907.5554874889</v>
      </c>
      <c r="N24" s="25" t="n">
        <f aca="false">IF(B24&lt;Input!$B$6,N23*(1+Input!$B$28)+L24,N23)</f>
        <v>103832.149343882</v>
      </c>
      <c r="O24" s="25" t="n">
        <f aca="false">L24*(1+Input!$B$17)^(A24-Input!$B$36)</f>
        <v>3888.16645061712</v>
      </c>
    </row>
    <row r="25" customFormat="false" ht="15" hidden="false" customHeight="true" outlineLevel="0" collapsed="false">
      <c r="A25" s="23" t="n">
        <v>20</v>
      </c>
      <c r="B25" s="24" t="n">
        <f aca="false">Input!$B$5+A25</f>
        <v>65</v>
      </c>
      <c r="C25" s="25" t="n">
        <f aca="false">IF(B25&lt;Input!$B$6, Input!$B$10*(1+Input!$B$12)^A25, 0)</f>
        <v>60608.4752947524</v>
      </c>
      <c r="D25" s="25" t="n">
        <f aca="false">C25*0.0691*Input!$B$21</f>
        <v>4188.04564286739</v>
      </c>
      <c r="E25" s="25" t="n">
        <f aca="false">IF(B25&lt;Input!$B$6,Input!$B$26+C25*Input!$B$47,0)</f>
        <v>2000</v>
      </c>
      <c r="F25" s="25" t="n">
        <f aca="false">C25*Input!$B$27</f>
        <v>909.127129421286</v>
      </c>
      <c r="G25" s="25" t="n">
        <f aca="false">H24*Input!$B$28</f>
        <v>4570.21108865097</v>
      </c>
      <c r="H25" s="25" t="n">
        <f aca="false">H24+D25+E25+F25+G25</f>
        <v>194475.827406979</v>
      </c>
      <c r="I25" s="25" t="n">
        <f aca="false">MIN(Input!$B$44,E25+F25)-MIN(Input!$B$44,F25+C25*Input!$B$47)</f>
        <v>2000</v>
      </c>
      <c r="J25" s="25" t="n">
        <f aca="false">E25+F25-MIN(Input!$B$44,E25+F25)</f>
        <v>0</v>
      </c>
      <c r="K25" s="25" t="n">
        <f aca="false">(D25+MIN(Input!$B$44,E25+F25))*(1+Input!$B$17)^(A25-Input!$B$36)</f>
        <v>6821.58090377612</v>
      </c>
      <c r="L25" s="25" t="n">
        <f aca="false">C25*0.0691</f>
        <v>4188.04564286739</v>
      </c>
      <c r="M25" s="25" t="n">
        <f aca="false">IF(B25&lt;Input!$B$6,M24*(1+Input!$B$49)+L25,M24)</f>
        <v>88498.6864459335</v>
      </c>
      <c r="N25" s="25" t="n">
        <f aca="false">IF(B25&lt;Input!$B$6,N24*(1+Input!$B$28)+L25,N24)</f>
        <v>110615.998720347</v>
      </c>
      <c r="O25" s="25" t="n">
        <f aca="false">L25*(1+Input!$B$17)^(A25-Input!$B$36)</f>
        <v>4025.41872632391</v>
      </c>
    </row>
    <row r="26" customFormat="false" ht="15" hidden="false" customHeight="true" outlineLevel="0" collapsed="false">
      <c r="A26" s="23" t="n">
        <v>21</v>
      </c>
      <c r="B26" s="24" t="n">
        <f aca="false">Input!$B$5+A26</f>
        <v>66</v>
      </c>
      <c r="C26" s="25" t="n">
        <f aca="false">IF(B26&lt;Input!$B$6, Input!$B$10*(1+Input!$B$12)^A26, 0)</f>
        <v>61517.6024241737</v>
      </c>
      <c r="D26" s="25" t="n">
        <f aca="false">C26*0.0691*Input!$B$21</f>
        <v>4250.8663275104</v>
      </c>
      <c r="E26" s="25" t="n">
        <f aca="false">IF(B26&lt;Input!$B$6,Input!$B$26+C26*Input!$B$47,0)</f>
        <v>2000</v>
      </c>
      <c r="F26" s="25" t="n">
        <f aca="false">C26*Input!$B$27</f>
        <v>922.764036362605</v>
      </c>
      <c r="G26" s="25" t="n">
        <f aca="false">H25*Input!$B$28</f>
        <v>4861.89568517446</v>
      </c>
      <c r="H26" s="25" t="n">
        <f aca="false">H25+D26+E26+F26+G26</f>
        <v>206511.353456026</v>
      </c>
      <c r="I26" s="25" t="n">
        <f aca="false">MIN(Input!$B$44,E26+F26)-MIN(Input!$B$44,F26+C26*Input!$B$47)</f>
        <v>2000</v>
      </c>
      <c r="J26" s="25" t="n">
        <f aca="false">E26+F26-MIN(Input!$B$44,E26+F26)</f>
        <v>0</v>
      </c>
      <c r="K26" s="25" t="n">
        <f aca="false">(D26+MIN(Input!$B$44,E26+F26))*(1+Input!$B$17)^(A26-Input!$B$36)</f>
        <v>7032.97094497354</v>
      </c>
      <c r="L26" s="25" t="n">
        <f aca="false">C26*0.0691</f>
        <v>4250.8663275104</v>
      </c>
      <c r="M26" s="25" t="n">
        <f aca="false">IF(B26&lt;Input!$B$6,M25*(1+Input!$B$49)+L26,M25)</f>
        <v>93174.6935220567</v>
      </c>
      <c r="N26" s="25" t="n">
        <f aca="false">IF(B26&lt;Input!$B$6,N25*(1+Input!$B$28)+L26,N25)</f>
        <v>117632.265015866</v>
      </c>
      <c r="O26" s="25" t="n">
        <f aca="false">L26*(1+Input!$B$17)^(A26-Input!$B$36)</f>
        <v>4167.51600736314</v>
      </c>
    </row>
    <row r="27" customFormat="false" ht="15" hidden="false" customHeight="true" outlineLevel="0" collapsed="false">
      <c r="A27" s="23" t="n">
        <v>22</v>
      </c>
      <c r="B27" s="24" t="n">
        <f aca="false">Input!$B$5+A27</f>
        <v>67</v>
      </c>
      <c r="C27" s="25" t="n">
        <f aca="false">IF(B27&lt;Input!$B$6, Input!$B$10*(1+Input!$B$12)^A27, 0)</f>
        <v>0</v>
      </c>
      <c r="D27" s="25" t="n">
        <f aca="false">C27*0.0691*Input!$B$21</f>
        <v>0</v>
      </c>
      <c r="E27" s="25" t="n">
        <f aca="false">IF(B27&lt;Input!$B$6,Input!$B$26+C27*Input!$B$47,0)</f>
        <v>0</v>
      </c>
      <c r="F27" s="25" t="n">
        <f aca="false">C27*Input!$B$27</f>
        <v>0</v>
      </c>
      <c r="G27" s="25" t="n">
        <f aca="false">H26*Input!$B$28</f>
        <v>5162.78383640065</v>
      </c>
      <c r="H27" s="25" t="n">
        <f aca="false">H26+D27+E27+F27+G27</f>
        <v>211674.137292427</v>
      </c>
      <c r="I27" s="25" t="n">
        <f aca="false">MIN(Input!$B$44,E27+F27)-MIN(Input!$B$44,F27+C27*Input!$B$47)</f>
        <v>0</v>
      </c>
      <c r="J27" s="25" t="n">
        <f aca="false">E27+F27-MIN(Input!$B$44,E27+F27)</f>
        <v>0</v>
      </c>
      <c r="K27" s="25" t="n">
        <f aca="false">(D27+MIN(Input!$B$44,E27+F27))*(1+Input!$B$17)^(A27-Input!$B$36)</f>
        <v>0</v>
      </c>
      <c r="L27" s="25" t="n">
        <f aca="false">C27*0.0691</f>
        <v>0</v>
      </c>
      <c r="M27" s="25" t="n">
        <f aca="false">IF(B27&lt;Input!$B$6,M26*(1+Input!$B$49)+L27,M26)</f>
        <v>93174.6935220567</v>
      </c>
      <c r="N27" s="25" t="n">
        <f aca="false">IF(B27&lt;Input!$B$6,N26*(1+Input!$B$28)+L27,N26)</f>
        <v>117632.265015866</v>
      </c>
      <c r="O27" s="25" t="n">
        <f aca="false">L27*(1+Input!$B$17)^(A27-Input!$B$36)</f>
        <v>0</v>
      </c>
    </row>
    <row r="28" customFormat="false" ht="15" hidden="false" customHeight="true" outlineLevel="0" collapsed="false">
      <c r="A28" s="23" t="n">
        <v>23</v>
      </c>
      <c r="B28" s="24" t="n">
        <f aca="false">Input!$B$5+A28</f>
        <v>68</v>
      </c>
      <c r="C28" s="25" t="n">
        <f aca="false">IF(B28&lt;Input!$B$6, Input!$B$10*(1+Input!$B$12)^A28, 0)</f>
        <v>0</v>
      </c>
      <c r="D28" s="25" t="n">
        <f aca="false">C28*0.0691*Input!$B$21</f>
        <v>0</v>
      </c>
      <c r="E28" s="25" t="n">
        <f aca="false">IF(B28&lt;Input!$B$6,Input!$B$26+C28*Input!$B$47,0)</f>
        <v>0</v>
      </c>
      <c r="F28" s="25" t="n">
        <f aca="false">C28*Input!$B$27</f>
        <v>0</v>
      </c>
      <c r="G28" s="25" t="n">
        <f aca="false">H27*Input!$B$28</f>
        <v>5291.85343231067</v>
      </c>
      <c r="H28" s="25" t="n">
        <f aca="false">H27+D28+E28+F28+G28</f>
        <v>216965.990724737</v>
      </c>
      <c r="I28" s="25" t="n">
        <f aca="false">MIN(Input!$B$44,E28+F28)-MIN(Input!$B$44,F28+C28*Input!$B$47)</f>
        <v>0</v>
      </c>
      <c r="J28" s="25" t="n">
        <f aca="false">E28+F28-MIN(Input!$B$44,E28+F28)</f>
        <v>0</v>
      </c>
      <c r="K28" s="25" t="n">
        <f aca="false">(D28+MIN(Input!$B$44,E28+F28))*(1+Input!$B$17)^(A28-Input!$B$36)</f>
        <v>0</v>
      </c>
      <c r="L28" s="25" t="n">
        <f aca="false">C28*0.0691</f>
        <v>0</v>
      </c>
      <c r="M28" s="25" t="n">
        <f aca="false">IF(B28&lt;Input!$B$6,M27*(1+Input!$B$49)+L28,M27)</f>
        <v>93174.6935220567</v>
      </c>
      <c r="N28" s="25" t="n">
        <f aca="false">IF(B28&lt;Input!$B$6,N27*(1+Input!$B$28)+L28,N27)</f>
        <v>117632.265015866</v>
      </c>
      <c r="O28" s="25" t="n">
        <f aca="false">L28*(1+Input!$B$17)^(A28-Input!$B$36)</f>
        <v>0</v>
      </c>
    </row>
    <row r="29" customFormat="false" ht="15" hidden="false" customHeight="true" outlineLevel="0" collapsed="false">
      <c r="A29" s="23" t="n">
        <v>24</v>
      </c>
      <c r="B29" s="24" t="n">
        <f aca="false">Input!$B$5+A29</f>
        <v>69</v>
      </c>
      <c r="C29" s="25" t="n">
        <f aca="false">IF(B29&lt;Input!$B$6, Input!$B$10*(1+Input!$B$12)^A29, 0)</f>
        <v>0</v>
      </c>
      <c r="D29" s="25" t="n">
        <f aca="false">C29*0.0691*Input!$B$21</f>
        <v>0</v>
      </c>
      <c r="E29" s="25" t="n">
        <f aca="false">IF(B29&lt;Input!$B$6,Input!$B$26+C29*Input!$B$47,0)</f>
        <v>0</v>
      </c>
      <c r="F29" s="25" t="n">
        <f aca="false">C29*Input!$B$27</f>
        <v>0</v>
      </c>
      <c r="G29" s="25" t="n">
        <f aca="false">H28*Input!$B$28</f>
        <v>5424.14976811843</v>
      </c>
      <c r="H29" s="25" t="n">
        <f aca="false">H28+D29+E29+F29+G29</f>
        <v>222390.140492856</v>
      </c>
      <c r="I29" s="25" t="n">
        <f aca="false">MIN(Input!$B$44,E29+F29)-MIN(Input!$B$44,F29+C29*Input!$B$47)</f>
        <v>0</v>
      </c>
      <c r="J29" s="25" t="n">
        <f aca="false">E29+F29-MIN(Input!$B$44,E29+F29)</f>
        <v>0</v>
      </c>
      <c r="K29" s="25" t="n">
        <f aca="false">(D29+MIN(Input!$B$44,E29+F29))*(1+Input!$B$17)^(A29-Input!$B$36)</f>
        <v>0</v>
      </c>
      <c r="L29" s="25" t="n">
        <f aca="false">C29*0.0691</f>
        <v>0</v>
      </c>
      <c r="M29" s="25" t="n">
        <f aca="false">IF(B29&lt;Input!$B$6,M28*(1+Input!$B$49)+L29,M28)</f>
        <v>93174.6935220567</v>
      </c>
      <c r="N29" s="25" t="n">
        <f aca="false">IF(B29&lt;Input!$B$6,N28*(1+Input!$B$28)+L29,N28)</f>
        <v>117632.265015866</v>
      </c>
      <c r="O29" s="25" t="n">
        <f aca="false">L29*(1+Input!$B$17)^(A29-Input!$B$36)</f>
        <v>0</v>
      </c>
    </row>
    <row r="30" customFormat="false" ht="15" hidden="false" customHeight="true" outlineLevel="0" collapsed="false">
      <c r="A30" s="23" t="n">
        <v>25</v>
      </c>
      <c r="B30" s="24" t="n">
        <f aca="false">Input!$B$5+A30</f>
        <v>70</v>
      </c>
      <c r="C30" s="25" t="n">
        <f aca="false">IF(B30&lt;Input!$B$6, Input!$B$10*(1+Input!$B$12)^A30, 0)</f>
        <v>0</v>
      </c>
      <c r="D30" s="25" t="n">
        <f aca="false">C30*0.0691*Input!$B$21</f>
        <v>0</v>
      </c>
      <c r="E30" s="25" t="n">
        <f aca="false">IF(B30&lt;Input!$B$6,Input!$B$26+C30*Input!$B$47,0)</f>
        <v>0</v>
      </c>
      <c r="F30" s="25" t="n">
        <f aca="false">C30*Input!$B$27</f>
        <v>0</v>
      </c>
      <c r="G30" s="25" t="n">
        <f aca="false">H29*Input!$B$28</f>
        <v>5559.75351232139</v>
      </c>
      <c r="H30" s="25" t="n">
        <f aca="false">H29+D30+E30+F30+G30</f>
        <v>227949.894005177</v>
      </c>
      <c r="I30" s="25" t="n">
        <f aca="false">MIN(Input!$B$44,E30+F30)-MIN(Input!$B$44,F30+C30*Input!$B$47)</f>
        <v>0</v>
      </c>
      <c r="J30" s="25" t="n">
        <f aca="false">E30+F30-MIN(Input!$B$44,E30+F30)</f>
        <v>0</v>
      </c>
      <c r="K30" s="25" t="n">
        <f aca="false">(D30+MIN(Input!$B$44,E30+F30))*(1+Input!$B$17)^(A30-Input!$B$36)</f>
        <v>0</v>
      </c>
      <c r="L30" s="25" t="n">
        <f aca="false">C30*0.0691</f>
        <v>0</v>
      </c>
      <c r="M30" s="25" t="n">
        <f aca="false">IF(B30&lt;Input!$B$6,M29*(1+Input!$B$49)+L30,M29)</f>
        <v>93174.6935220567</v>
      </c>
      <c r="N30" s="25" t="n">
        <f aca="false">IF(B30&lt;Input!$B$6,N29*(1+Input!$B$28)+L30,N29)</f>
        <v>117632.265015866</v>
      </c>
      <c r="O30" s="25" t="n">
        <f aca="false">L30*(1+Input!$B$17)^(A30-Input!$B$36)</f>
        <v>0</v>
      </c>
    </row>
    <row r="31" customFormat="false" ht="15" hidden="false" customHeight="true" outlineLevel="0" collapsed="false">
      <c r="A31" s="23" t="n">
        <v>26</v>
      </c>
      <c r="B31" s="24" t="n">
        <f aca="false">Input!$B$5+A31</f>
        <v>71</v>
      </c>
      <c r="C31" s="25" t="n">
        <f aca="false">IF(B31&lt;Input!$B$6, Input!$B$10*(1+Input!$B$12)^A31, 0)</f>
        <v>0</v>
      </c>
      <c r="D31" s="25" t="n">
        <f aca="false">C31*0.0691*Input!$B$21</f>
        <v>0</v>
      </c>
      <c r="E31" s="25" t="n">
        <f aca="false">IF(B31&lt;Input!$B$6,Input!$B$26+C31*Input!$B$47,0)</f>
        <v>0</v>
      </c>
      <c r="F31" s="25" t="n">
        <f aca="false">C31*Input!$B$27</f>
        <v>0</v>
      </c>
      <c r="G31" s="25" t="n">
        <f aca="false">H30*Input!$B$28</f>
        <v>5698.74735012943</v>
      </c>
      <c r="H31" s="25" t="n">
        <f aca="false">H30+D31+E31+F31+G31</f>
        <v>233648.641355307</v>
      </c>
      <c r="I31" s="25" t="n">
        <f aca="false">MIN(Input!$B$44,E31+F31)-MIN(Input!$B$44,F31+C31*Input!$B$47)</f>
        <v>0</v>
      </c>
      <c r="J31" s="25" t="n">
        <f aca="false">E31+F31-MIN(Input!$B$44,E31+F31)</f>
        <v>0</v>
      </c>
      <c r="K31" s="25" t="n">
        <f aca="false">(D31+MIN(Input!$B$44,E31+F31))*(1+Input!$B$17)^(A31-Input!$B$36)</f>
        <v>0</v>
      </c>
      <c r="L31" s="25" t="n">
        <f aca="false">C31*0.0691</f>
        <v>0</v>
      </c>
      <c r="M31" s="25" t="n">
        <f aca="false">IF(B31&lt;Input!$B$6,M30*(1+Input!$B$49)+L31,M30)</f>
        <v>93174.6935220567</v>
      </c>
      <c r="N31" s="25" t="n">
        <f aca="false">IF(B31&lt;Input!$B$6,N30*(1+Input!$B$28)+L31,N30)</f>
        <v>117632.265015866</v>
      </c>
      <c r="O31" s="25" t="n">
        <f aca="false">L31*(1+Input!$B$17)^(A31-Input!$B$36)</f>
        <v>0</v>
      </c>
    </row>
    <row r="32" customFormat="false" ht="15" hidden="false" customHeight="true" outlineLevel="0" collapsed="false">
      <c r="A32" s="23" t="n">
        <v>27</v>
      </c>
      <c r="B32" s="24" t="n">
        <f aca="false">Input!$B$5+A32</f>
        <v>72</v>
      </c>
      <c r="C32" s="25" t="n">
        <f aca="false">IF(B32&lt;Input!$B$6, Input!$B$10*(1+Input!$B$12)^A32, 0)</f>
        <v>0</v>
      </c>
      <c r="D32" s="25" t="n">
        <f aca="false">C32*0.0691*Input!$B$21</f>
        <v>0</v>
      </c>
      <c r="E32" s="25" t="n">
        <f aca="false">IF(B32&lt;Input!$B$6,Input!$B$26+C32*Input!$B$47,0)</f>
        <v>0</v>
      </c>
      <c r="F32" s="25" t="n">
        <f aca="false">C32*Input!$B$27</f>
        <v>0</v>
      </c>
      <c r="G32" s="25" t="n">
        <f aca="false">H31*Input!$B$28</f>
        <v>5841.21603388266</v>
      </c>
      <c r="H32" s="25" t="n">
        <f aca="false">H31+D32+E32+F32+G32</f>
        <v>239489.857389189</v>
      </c>
      <c r="I32" s="25" t="n">
        <f aca="false">MIN(Input!$B$44,E32+F32)-MIN(Input!$B$44,F32+C32*Input!$B$47)</f>
        <v>0</v>
      </c>
      <c r="J32" s="25" t="n">
        <f aca="false">E32+F32-MIN(Input!$B$44,E32+F32)</f>
        <v>0</v>
      </c>
      <c r="K32" s="25" t="n">
        <f aca="false">(D32+MIN(Input!$B$44,E32+F32))*(1+Input!$B$17)^(A32-Input!$B$36)</f>
        <v>0</v>
      </c>
      <c r="L32" s="25" t="n">
        <f aca="false">C32*0.0691</f>
        <v>0</v>
      </c>
      <c r="M32" s="25" t="n">
        <f aca="false">IF(B32&lt;Input!$B$6,M31*(1+Input!$B$49)+L32,M31)</f>
        <v>93174.6935220567</v>
      </c>
      <c r="N32" s="25" t="n">
        <f aca="false">IF(B32&lt;Input!$B$6,N31*(1+Input!$B$28)+L32,N31)</f>
        <v>117632.265015866</v>
      </c>
      <c r="O32" s="25" t="n">
        <f aca="false">L32*(1+Input!$B$17)^(A32-Input!$B$36)</f>
        <v>0</v>
      </c>
    </row>
    <row r="33" customFormat="false" ht="15" hidden="false" customHeight="true" outlineLevel="0" collapsed="false">
      <c r="A33" s="23" t="n">
        <v>28</v>
      </c>
      <c r="B33" s="24" t="n">
        <f aca="false">Input!$B$5+A33</f>
        <v>73</v>
      </c>
      <c r="C33" s="25" t="n">
        <f aca="false">IF(B33&lt;Input!$B$6, Input!$B$10*(1+Input!$B$12)^A33, 0)</f>
        <v>0</v>
      </c>
      <c r="D33" s="25" t="n">
        <f aca="false">C33*0.0691*Input!$B$21</f>
        <v>0</v>
      </c>
      <c r="E33" s="25" t="n">
        <f aca="false">IF(B33&lt;Input!$B$6,Input!$B$26+C33*Input!$B$47,0)</f>
        <v>0</v>
      </c>
      <c r="F33" s="25" t="n">
        <f aca="false">C33*Input!$B$27</f>
        <v>0</v>
      </c>
      <c r="G33" s="25" t="n">
        <f aca="false">H32*Input!$B$28</f>
        <v>5987.24643472973</v>
      </c>
      <c r="H33" s="25" t="n">
        <f aca="false">H32+D33+E33+F33+G33</f>
        <v>245477.103823919</v>
      </c>
      <c r="I33" s="25" t="n">
        <f aca="false">MIN(Input!$B$44,E33+F33)-MIN(Input!$B$44,F33+C33*Input!$B$47)</f>
        <v>0</v>
      </c>
      <c r="J33" s="25" t="n">
        <f aca="false">E33+F33-MIN(Input!$B$44,E33+F33)</f>
        <v>0</v>
      </c>
      <c r="K33" s="25" t="n">
        <f aca="false">(D33+MIN(Input!$B$44,E33+F33))*(1+Input!$B$17)^(A33-Input!$B$36)</f>
        <v>0</v>
      </c>
      <c r="L33" s="25" t="n">
        <f aca="false">C33*0.0691</f>
        <v>0</v>
      </c>
      <c r="M33" s="25" t="n">
        <f aca="false">IF(B33&lt;Input!$B$6,M32*(1+Input!$B$49)+L33,M32)</f>
        <v>93174.6935220567</v>
      </c>
      <c r="N33" s="25" t="n">
        <f aca="false">IF(B33&lt;Input!$B$6,N32*(1+Input!$B$28)+L33,N32)</f>
        <v>117632.265015866</v>
      </c>
      <c r="O33" s="25" t="n">
        <f aca="false">L33*(1+Input!$B$17)^(A33-Input!$B$36)</f>
        <v>0</v>
      </c>
    </row>
    <row r="34" customFormat="false" ht="15" hidden="false" customHeight="true" outlineLevel="0" collapsed="false">
      <c r="A34" s="23" t="n">
        <v>29</v>
      </c>
      <c r="B34" s="24" t="n">
        <f aca="false">Input!$B$5+A34</f>
        <v>74</v>
      </c>
      <c r="C34" s="25" t="n">
        <f aca="false">IF(B34&lt;Input!$B$6, Input!$B$10*(1+Input!$B$12)^A34, 0)</f>
        <v>0</v>
      </c>
      <c r="D34" s="25" t="n">
        <f aca="false">C34*0.0691*Input!$B$21</f>
        <v>0</v>
      </c>
      <c r="E34" s="25" t="n">
        <f aca="false">IF(B34&lt;Input!$B$6,Input!$B$26+C34*Input!$B$47,0)</f>
        <v>0</v>
      </c>
      <c r="F34" s="25" t="n">
        <f aca="false">C34*Input!$B$27</f>
        <v>0</v>
      </c>
      <c r="G34" s="25" t="n">
        <f aca="false">H33*Input!$B$28</f>
        <v>6136.92759559797</v>
      </c>
      <c r="H34" s="25" t="n">
        <f aca="false">H33+D34+E34+F34+G34</f>
        <v>251614.031419517</v>
      </c>
      <c r="I34" s="25" t="n">
        <f aca="false">MIN(Input!$B$44,E34+F34)-MIN(Input!$B$44,F34+C34*Input!$B$47)</f>
        <v>0</v>
      </c>
      <c r="J34" s="25" t="n">
        <f aca="false">E34+F34-MIN(Input!$B$44,E34+F34)</f>
        <v>0</v>
      </c>
      <c r="K34" s="25" t="n">
        <f aca="false">(D34+MIN(Input!$B$44,E34+F34))*(1+Input!$B$17)^(A34-Input!$B$36)</f>
        <v>0</v>
      </c>
      <c r="L34" s="25" t="n">
        <f aca="false">C34*0.0691</f>
        <v>0</v>
      </c>
      <c r="M34" s="25" t="n">
        <f aca="false">IF(B34&lt;Input!$B$6,M33*(1+Input!$B$49)+L34,M33)</f>
        <v>93174.6935220567</v>
      </c>
      <c r="N34" s="25" t="n">
        <f aca="false">IF(B34&lt;Input!$B$6,N33*(1+Input!$B$28)+L34,N33)</f>
        <v>117632.265015866</v>
      </c>
      <c r="O34" s="25" t="n">
        <f aca="false">L34*(1+Input!$B$17)^(A34-Input!$B$36)</f>
        <v>0</v>
      </c>
    </row>
    <row r="35" customFormat="false" ht="15" hidden="false" customHeight="true" outlineLevel="0" collapsed="false">
      <c r="A35" s="23" t="n">
        <v>30</v>
      </c>
      <c r="B35" s="24" t="n">
        <f aca="false">Input!$B$5+A35</f>
        <v>75</v>
      </c>
      <c r="C35" s="25" t="n">
        <f aca="false">IF(B35&lt;Input!$B$6, Input!$B$10*(1+Input!$B$12)^A35, 0)</f>
        <v>0</v>
      </c>
      <c r="D35" s="25" t="n">
        <f aca="false">C35*0.0691*Input!$B$21</f>
        <v>0</v>
      </c>
      <c r="E35" s="25" t="n">
        <f aca="false">IF(B35&lt;Input!$B$6,Input!$B$26+C35*Input!$B$47,0)</f>
        <v>0</v>
      </c>
      <c r="F35" s="25" t="n">
        <f aca="false">C35*Input!$B$27</f>
        <v>0</v>
      </c>
      <c r="G35" s="25" t="n">
        <f aca="false">H34*Input!$B$28</f>
        <v>6290.35078548792</v>
      </c>
      <c r="H35" s="25" t="n">
        <f aca="false">H34+D35+E35+F35+G35</f>
        <v>257904.382205005</v>
      </c>
      <c r="I35" s="25" t="n">
        <f aca="false">MIN(Input!$B$44,E35+F35)-MIN(Input!$B$44,F35+C35*Input!$B$47)</f>
        <v>0</v>
      </c>
      <c r="J35" s="25" t="n">
        <f aca="false">E35+F35-MIN(Input!$B$44,E35+F35)</f>
        <v>0</v>
      </c>
      <c r="K35" s="25" t="n">
        <f aca="false">(D35+MIN(Input!$B$44,E35+F35))*(1+Input!$B$17)^(A35-Input!$B$36)</f>
        <v>0</v>
      </c>
      <c r="L35" s="25" t="n">
        <f aca="false">C35*0.0691</f>
        <v>0</v>
      </c>
      <c r="M35" s="25" t="n">
        <f aca="false">IF(B35&lt;Input!$B$6,M34*(1+Input!$B$49)+L35,M34)</f>
        <v>93174.6935220567</v>
      </c>
      <c r="N35" s="25" t="n">
        <f aca="false">IF(B35&lt;Input!$B$6,N34*(1+Input!$B$28)+L35,N34)</f>
        <v>117632.265015866</v>
      </c>
      <c r="O35" s="25" t="n">
        <f aca="false">L35*(1+Input!$B$17)^(A35-Input!$B$36)</f>
        <v>0</v>
      </c>
    </row>
    <row r="36" customFormat="false" ht="15" hidden="false" customHeight="true" outlineLevel="0" collapsed="false">
      <c r="A36" s="23" t="n">
        <v>31</v>
      </c>
      <c r="B36" s="24" t="n">
        <f aca="false">Input!$B$5+A36</f>
        <v>76</v>
      </c>
      <c r="C36" s="25" t="n">
        <f aca="false">IF(B36&lt;Input!$B$6, Input!$B$10*(1+Input!$B$12)^A36, 0)</f>
        <v>0</v>
      </c>
      <c r="D36" s="25" t="n">
        <f aca="false">C36*0.0691*Input!$B$21</f>
        <v>0</v>
      </c>
      <c r="E36" s="25" t="n">
        <f aca="false">IF(B36&lt;Input!$B$6,Input!$B$26+C36*Input!$B$47,0)</f>
        <v>0</v>
      </c>
      <c r="F36" s="25" t="n">
        <f aca="false">C36*Input!$B$27</f>
        <v>0</v>
      </c>
      <c r="G36" s="25" t="n">
        <f aca="false">H35*Input!$B$28</f>
        <v>6447.60955512512</v>
      </c>
      <c r="H36" s="25" t="n">
        <f aca="false">H35+D36+E36+F36+G36</f>
        <v>264351.99176013</v>
      </c>
      <c r="I36" s="25" t="n">
        <f aca="false">MIN(Input!$B$44,E36+F36)-MIN(Input!$B$44,F36+C36*Input!$B$47)</f>
        <v>0</v>
      </c>
      <c r="J36" s="25" t="n">
        <f aca="false">E36+F36-MIN(Input!$B$44,E36+F36)</f>
        <v>0</v>
      </c>
      <c r="K36" s="25" t="n">
        <f aca="false">(D36+MIN(Input!$B$44,E36+F36))*(1+Input!$B$17)^(A36-Input!$B$36)</f>
        <v>0</v>
      </c>
      <c r="L36" s="25" t="n">
        <f aca="false">C36*0.0691</f>
        <v>0</v>
      </c>
      <c r="M36" s="25" t="n">
        <f aca="false">IF(B36&lt;Input!$B$6,M35*(1+Input!$B$49)+L36,M35)</f>
        <v>93174.6935220567</v>
      </c>
      <c r="N36" s="25" t="n">
        <f aca="false">IF(B36&lt;Input!$B$6,N35*(1+Input!$B$28)+L36,N35)</f>
        <v>117632.265015866</v>
      </c>
      <c r="O36" s="25" t="n">
        <f aca="false">L36*(1+Input!$B$17)^(A36-Input!$B$36)</f>
        <v>0</v>
      </c>
    </row>
    <row r="37" customFormat="false" ht="15" hidden="false" customHeight="true" outlineLevel="0" collapsed="false">
      <c r="A37" s="23" t="n">
        <v>32</v>
      </c>
      <c r="B37" s="24" t="n">
        <f aca="false">Input!$B$5+A37</f>
        <v>77</v>
      </c>
      <c r="C37" s="25" t="n">
        <f aca="false">IF(B37&lt;Input!$B$6, Input!$B$10*(1+Input!$B$12)^A37, 0)</f>
        <v>0</v>
      </c>
      <c r="D37" s="25" t="n">
        <f aca="false">C37*0.0691*Input!$B$21</f>
        <v>0</v>
      </c>
      <c r="E37" s="25" t="n">
        <f aca="false">IF(B37&lt;Input!$B$6,Input!$B$26+C37*Input!$B$47,0)</f>
        <v>0</v>
      </c>
      <c r="F37" s="25" t="n">
        <f aca="false">C37*Input!$B$27</f>
        <v>0</v>
      </c>
      <c r="G37" s="25" t="n">
        <f aca="false">H36*Input!$B$28</f>
        <v>6608.79979400325</v>
      </c>
      <c r="H37" s="25" t="n">
        <f aca="false">H36+D37+E37+F37+G37</f>
        <v>270960.791554133</v>
      </c>
      <c r="I37" s="25" t="n">
        <f aca="false">MIN(Input!$B$44,E37+F37)-MIN(Input!$B$44,F37+C37*Input!$B$47)</f>
        <v>0</v>
      </c>
      <c r="J37" s="25" t="n">
        <f aca="false">E37+F37-MIN(Input!$B$44,E37+F37)</f>
        <v>0</v>
      </c>
      <c r="K37" s="25" t="n">
        <f aca="false">(D37+MIN(Input!$B$44,E37+F37))*(1+Input!$B$17)^(A37-Input!$B$36)</f>
        <v>0</v>
      </c>
      <c r="L37" s="25" t="n">
        <f aca="false">C37*0.0691</f>
        <v>0</v>
      </c>
      <c r="M37" s="25" t="n">
        <f aca="false">IF(B37&lt;Input!$B$6,M36*(1+Input!$B$49)+L37,M36)</f>
        <v>93174.6935220567</v>
      </c>
      <c r="N37" s="25" t="n">
        <f aca="false">IF(B37&lt;Input!$B$6,N36*(1+Input!$B$28)+L37,N36)</f>
        <v>117632.265015866</v>
      </c>
      <c r="O37" s="25" t="n">
        <f aca="false">L37*(1+Input!$B$17)^(A37-Input!$B$36)</f>
        <v>0</v>
      </c>
    </row>
    <row r="38" customFormat="false" ht="15" hidden="false" customHeight="true" outlineLevel="0" collapsed="false">
      <c r="A38" s="23" t="n">
        <v>33</v>
      </c>
      <c r="B38" s="24" t="n">
        <f aca="false">Input!$B$5+A38</f>
        <v>78</v>
      </c>
      <c r="C38" s="25" t="n">
        <f aca="false">IF(B38&lt;Input!$B$6, Input!$B$10*(1+Input!$B$12)^A38, 0)</f>
        <v>0</v>
      </c>
      <c r="D38" s="25" t="n">
        <f aca="false">C38*0.0691*Input!$B$21</f>
        <v>0</v>
      </c>
      <c r="E38" s="25" t="n">
        <f aca="false">IF(B38&lt;Input!$B$6,Input!$B$26+C38*Input!$B$47,0)</f>
        <v>0</v>
      </c>
      <c r="F38" s="25" t="n">
        <f aca="false">C38*Input!$B$27</f>
        <v>0</v>
      </c>
      <c r="G38" s="25" t="n">
        <f aca="false">H37*Input!$B$28</f>
        <v>6774.01978885333</v>
      </c>
      <c r="H38" s="25" t="n">
        <f aca="false">H37+D38+E38+F38+G38</f>
        <v>277734.811342987</v>
      </c>
      <c r="I38" s="25" t="n">
        <f aca="false">MIN(Input!$B$44,E38+F38)-MIN(Input!$B$44,F38+C38*Input!$B$47)</f>
        <v>0</v>
      </c>
      <c r="J38" s="25" t="n">
        <f aca="false">E38+F38-MIN(Input!$B$44,E38+F38)</f>
        <v>0</v>
      </c>
      <c r="K38" s="25" t="n">
        <f aca="false">(D38+MIN(Input!$B$44,E38+F38))*(1+Input!$B$17)^(A38-Input!$B$36)</f>
        <v>0</v>
      </c>
      <c r="L38" s="25" t="n">
        <f aca="false">C38*0.0691</f>
        <v>0</v>
      </c>
      <c r="M38" s="25" t="n">
        <f aca="false">IF(B38&lt;Input!$B$6,M37*(1+Input!$B$49)+L38,M37)</f>
        <v>93174.6935220567</v>
      </c>
      <c r="N38" s="25" t="n">
        <f aca="false">IF(B38&lt;Input!$B$6,N37*(1+Input!$B$28)+L38,N37)</f>
        <v>117632.265015866</v>
      </c>
      <c r="O38" s="25" t="n">
        <f aca="false">L38*(1+Input!$B$17)^(A38-Input!$B$36)</f>
        <v>0</v>
      </c>
    </row>
    <row r="39" customFormat="false" ht="15" hidden="false" customHeight="true" outlineLevel="0" collapsed="false">
      <c r="A39" s="23" t="n">
        <v>34</v>
      </c>
      <c r="B39" s="24" t="n">
        <f aca="false">Input!$B$5+A39</f>
        <v>79</v>
      </c>
      <c r="C39" s="25" t="n">
        <f aca="false">IF(B39&lt;Input!$B$6, Input!$B$10*(1+Input!$B$12)^A39, 0)</f>
        <v>0</v>
      </c>
      <c r="D39" s="25" t="n">
        <f aca="false">C39*0.0691*Input!$B$21</f>
        <v>0</v>
      </c>
      <c r="E39" s="25" t="n">
        <f aca="false">IF(B39&lt;Input!$B$6,Input!$B$26+C39*Input!$B$47,0)</f>
        <v>0</v>
      </c>
      <c r="F39" s="25" t="n">
        <f aca="false">C39*Input!$B$27</f>
        <v>0</v>
      </c>
      <c r="G39" s="25" t="n">
        <f aca="false">H38*Input!$B$28</f>
        <v>6943.37028357467</v>
      </c>
      <c r="H39" s="25" t="n">
        <f aca="false">H38+D39+E39+F39+G39</f>
        <v>284678.181626561</v>
      </c>
      <c r="I39" s="25" t="n">
        <f aca="false">MIN(Input!$B$44,E39+F39)-MIN(Input!$B$44,F39+C39*Input!$B$47)</f>
        <v>0</v>
      </c>
      <c r="J39" s="25" t="n">
        <f aca="false">E39+F39-MIN(Input!$B$44,E39+F39)</f>
        <v>0</v>
      </c>
      <c r="K39" s="25" t="n">
        <f aca="false">(D39+MIN(Input!$B$44,E39+F39))*(1+Input!$B$17)^(A39-Input!$B$36)</f>
        <v>0</v>
      </c>
      <c r="L39" s="25" t="n">
        <f aca="false">C39*0.0691</f>
        <v>0</v>
      </c>
      <c r="M39" s="25" t="n">
        <f aca="false">IF(B39&lt;Input!$B$6,M38*(1+Input!$B$49)+L39,M38)</f>
        <v>93174.6935220567</v>
      </c>
      <c r="N39" s="25" t="n">
        <f aca="false">IF(B39&lt;Input!$B$6,N38*(1+Input!$B$28)+L39,N38)</f>
        <v>117632.265015866</v>
      </c>
      <c r="O39" s="25" t="n">
        <f aca="false">L39*(1+Input!$B$17)^(A39-Input!$B$36)</f>
        <v>0</v>
      </c>
    </row>
    <row r="40" customFormat="false" ht="15" hidden="false" customHeight="true" outlineLevel="0" collapsed="false">
      <c r="A40" s="23" t="n">
        <v>35</v>
      </c>
      <c r="B40" s="24" t="n">
        <f aca="false">Input!$B$5+A40</f>
        <v>80</v>
      </c>
      <c r="C40" s="25" t="n">
        <f aca="false">IF(B40&lt;Input!$B$6, Input!$B$10*(1+Input!$B$12)^A40, 0)</f>
        <v>0</v>
      </c>
      <c r="D40" s="25" t="n">
        <f aca="false">C40*0.0691*Input!$B$21</f>
        <v>0</v>
      </c>
      <c r="E40" s="25" t="n">
        <f aca="false">IF(B40&lt;Input!$B$6,Input!$B$26+C40*Input!$B$47,0)</f>
        <v>0</v>
      </c>
      <c r="F40" s="25" t="n">
        <f aca="false">C40*Input!$B$27</f>
        <v>0</v>
      </c>
      <c r="G40" s="25" t="n">
        <f aca="false">H39*Input!$B$28</f>
        <v>7116.95454066403</v>
      </c>
      <c r="H40" s="25" t="n">
        <f aca="false">H39+D40+E40+F40+G40</f>
        <v>291795.136167225</v>
      </c>
      <c r="I40" s="25" t="n">
        <f aca="false">MIN(Input!$B$44,E40+F40)-MIN(Input!$B$44,F40+C40*Input!$B$47)</f>
        <v>0</v>
      </c>
      <c r="J40" s="25" t="n">
        <f aca="false">E40+F40-MIN(Input!$B$44,E40+F40)</f>
        <v>0</v>
      </c>
      <c r="K40" s="25" t="n">
        <f aca="false">(D40+MIN(Input!$B$44,E40+F40))*(1+Input!$B$17)^(A40-Input!$B$36)</f>
        <v>0</v>
      </c>
      <c r="L40" s="25" t="n">
        <f aca="false">C40*0.0691</f>
        <v>0</v>
      </c>
      <c r="M40" s="25" t="n">
        <f aca="false">IF(B40&lt;Input!$B$6,M39*(1+Input!$B$49)+L40,M39)</f>
        <v>93174.6935220567</v>
      </c>
      <c r="N40" s="25" t="n">
        <f aca="false">IF(B40&lt;Input!$B$6,N39*(1+Input!$B$28)+L40,N39)</f>
        <v>117632.265015866</v>
      </c>
      <c r="O40" s="25" t="n">
        <f aca="false">L40*(1+Input!$B$17)^(A40-Input!$B$36)</f>
        <v>0</v>
      </c>
    </row>
    <row r="41" customFormat="false" ht="15" hidden="false" customHeight="true" outlineLevel="0" collapsed="false">
      <c r="A41" s="23" t="n">
        <v>36</v>
      </c>
      <c r="B41" s="24" t="n">
        <f aca="false">Input!$B$5+A41</f>
        <v>81</v>
      </c>
      <c r="C41" s="25" t="n">
        <f aca="false">IF(B41&lt;Input!$B$6, Input!$B$10*(1+Input!$B$12)^A41, 0)</f>
        <v>0</v>
      </c>
      <c r="D41" s="25" t="n">
        <f aca="false">C41*0.0691*Input!$B$21</f>
        <v>0</v>
      </c>
      <c r="E41" s="25" t="n">
        <f aca="false">IF(B41&lt;Input!$B$6,Input!$B$26+C41*Input!$B$47,0)</f>
        <v>0</v>
      </c>
      <c r="F41" s="25" t="n">
        <f aca="false">C41*Input!$B$27</f>
        <v>0</v>
      </c>
      <c r="G41" s="25" t="n">
        <f aca="false">H40*Input!$B$28</f>
        <v>7294.87840418063</v>
      </c>
      <c r="H41" s="25" t="n">
        <f aca="false">H40+D41+E41+F41+G41</f>
        <v>299090.014571406</v>
      </c>
      <c r="I41" s="25" t="n">
        <f aca="false">MIN(Input!$B$44,E41+F41)-MIN(Input!$B$44,F41+C41*Input!$B$47)</f>
        <v>0</v>
      </c>
      <c r="J41" s="25" t="n">
        <f aca="false">E41+F41-MIN(Input!$B$44,E41+F41)</f>
        <v>0</v>
      </c>
      <c r="K41" s="25" t="n">
        <f aca="false">(D41+MIN(Input!$B$44,E41+F41))*(1+Input!$B$17)^(A41-Input!$B$36)</f>
        <v>0</v>
      </c>
      <c r="L41" s="25" t="n">
        <f aca="false">C41*0.0691</f>
        <v>0</v>
      </c>
      <c r="M41" s="25" t="n">
        <f aca="false">IF(B41&lt;Input!$B$6,M40*(1+Input!$B$49)+L41,M40)</f>
        <v>93174.6935220567</v>
      </c>
      <c r="N41" s="25" t="n">
        <f aca="false">IF(B41&lt;Input!$B$6,N40*(1+Input!$B$28)+L41,N40)</f>
        <v>117632.265015866</v>
      </c>
      <c r="O41" s="25" t="n">
        <f aca="false">L41*(1+Input!$B$17)^(A41-Input!$B$36)</f>
        <v>0</v>
      </c>
    </row>
    <row r="42" customFormat="false" ht="15" hidden="false" customHeight="true" outlineLevel="0" collapsed="false">
      <c r="A42" s="23" t="n">
        <v>37</v>
      </c>
      <c r="B42" s="24" t="n">
        <f aca="false">Input!$B$5+A42</f>
        <v>82</v>
      </c>
      <c r="C42" s="25" t="n">
        <f aca="false">IF(B42&lt;Input!$B$6, Input!$B$10*(1+Input!$B$12)^A42, 0)</f>
        <v>0</v>
      </c>
      <c r="D42" s="25" t="n">
        <f aca="false">C42*0.0691*Input!$B$21</f>
        <v>0</v>
      </c>
      <c r="E42" s="25" t="n">
        <f aca="false">IF(B42&lt;Input!$B$6,Input!$B$26+C42*Input!$B$47,0)</f>
        <v>0</v>
      </c>
      <c r="F42" s="25" t="n">
        <f aca="false">C42*Input!$B$27</f>
        <v>0</v>
      </c>
      <c r="G42" s="25" t="n">
        <f aca="false">H41*Input!$B$28</f>
        <v>7477.25036428515</v>
      </c>
      <c r="H42" s="25" t="n">
        <f aca="false">H41+D42+E42+F42+G42</f>
        <v>306567.264935691</v>
      </c>
      <c r="I42" s="25" t="n">
        <f aca="false">MIN(Input!$B$44,E42+F42)-MIN(Input!$B$44,F42+C42*Input!$B$47)</f>
        <v>0</v>
      </c>
      <c r="J42" s="25" t="n">
        <f aca="false">E42+F42-MIN(Input!$B$44,E42+F42)</f>
        <v>0</v>
      </c>
      <c r="K42" s="25" t="n">
        <f aca="false">(D42+MIN(Input!$B$44,E42+F42))*(1+Input!$B$17)^(A42-Input!$B$36)</f>
        <v>0</v>
      </c>
      <c r="L42" s="25" t="n">
        <f aca="false">C42*0.0691</f>
        <v>0</v>
      </c>
      <c r="M42" s="25" t="n">
        <f aca="false">IF(B42&lt;Input!$B$6,M41*(1+Input!$B$49)+L42,M41)</f>
        <v>93174.6935220567</v>
      </c>
      <c r="N42" s="25" t="n">
        <f aca="false">IF(B42&lt;Input!$B$6,N41*(1+Input!$B$28)+L42,N41)</f>
        <v>117632.265015866</v>
      </c>
      <c r="O42" s="25" t="n">
        <f aca="false">L42*(1+Input!$B$17)^(A42-Input!$B$36)</f>
        <v>0</v>
      </c>
    </row>
    <row r="43" customFormat="false" ht="15" hidden="false" customHeight="true" outlineLevel="0" collapsed="false">
      <c r="A43" s="23" t="n">
        <v>38</v>
      </c>
      <c r="B43" s="24" t="n">
        <f aca="false">Input!$B$5+A43</f>
        <v>83</v>
      </c>
      <c r="C43" s="25" t="n">
        <f aca="false">IF(B43&lt;Input!$B$6, Input!$B$10*(1+Input!$B$12)^A43, 0)</f>
        <v>0</v>
      </c>
      <c r="D43" s="25" t="n">
        <f aca="false">C43*0.0691*Input!$B$21</f>
        <v>0</v>
      </c>
      <c r="E43" s="25" t="n">
        <f aca="false">IF(B43&lt;Input!$B$6,Input!$B$26+C43*Input!$B$47,0)</f>
        <v>0</v>
      </c>
      <c r="F43" s="25" t="n">
        <f aca="false">C43*Input!$B$27</f>
        <v>0</v>
      </c>
      <c r="G43" s="25" t="n">
        <f aca="false">H42*Input!$B$28</f>
        <v>7664.18162339228</v>
      </c>
      <c r="H43" s="25" t="n">
        <f aca="false">H42+D43+E43+F43+G43</f>
        <v>314231.446559083</v>
      </c>
      <c r="I43" s="25" t="n">
        <f aca="false">MIN(Input!$B$44,E43+F43)-MIN(Input!$B$44,F43+C43*Input!$B$47)</f>
        <v>0</v>
      </c>
      <c r="J43" s="25" t="n">
        <f aca="false">E43+F43-MIN(Input!$B$44,E43+F43)</f>
        <v>0</v>
      </c>
      <c r="K43" s="25" t="n">
        <f aca="false">(D43+MIN(Input!$B$44,E43+F43))*(1+Input!$B$17)^(A43-Input!$B$36)</f>
        <v>0</v>
      </c>
      <c r="L43" s="25" t="n">
        <f aca="false">C43*0.0691</f>
        <v>0</v>
      </c>
      <c r="M43" s="25" t="n">
        <f aca="false">IF(B43&lt;Input!$B$6,M42*(1+Input!$B$49)+L43,M42)</f>
        <v>93174.6935220567</v>
      </c>
      <c r="N43" s="25" t="n">
        <f aca="false">IF(B43&lt;Input!$B$6,N42*(1+Input!$B$28)+L43,N42)</f>
        <v>117632.265015866</v>
      </c>
      <c r="O43" s="25" t="n">
        <f aca="false">L43*(1+Input!$B$17)^(A43-Input!$B$36)</f>
        <v>0</v>
      </c>
    </row>
    <row r="44" customFormat="false" ht="15" hidden="false" customHeight="true" outlineLevel="0" collapsed="false">
      <c r="A44" s="23" t="n">
        <v>39</v>
      </c>
      <c r="B44" s="24" t="n">
        <f aca="false">Input!$B$5+A44</f>
        <v>84</v>
      </c>
      <c r="C44" s="25" t="n">
        <f aca="false">IF(B44&lt;Input!$B$6, Input!$B$10*(1+Input!$B$12)^A44, 0)</f>
        <v>0</v>
      </c>
      <c r="D44" s="25" t="n">
        <f aca="false">C44*0.0691*Input!$B$21</f>
        <v>0</v>
      </c>
      <c r="E44" s="25" t="n">
        <f aca="false">IF(B44&lt;Input!$B$6,Input!$B$26+C44*Input!$B$47,0)</f>
        <v>0</v>
      </c>
      <c r="F44" s="25" t="n">
        <f aca="false">C44*Input!$B$27</f>
        <v>0</v>
      </c>
      <c r="G44" s="25" t="n">
        <f aca="false">H43*Input!$B$28</f>
        <v>7855.78616397708</v>
      </c>
      <c r="H44" s="25" t="n">
        <f aca="false">H43+D44+E44+F44+G44</f>
        <v>322087.23272306</v>
      </c>
      <c r="I44" s="25" t="n">
        <f aca="false">MIN(Input!$B$44,E44+F44)-MIN(Input!$B$44,F44+C44*Input!$B$47)</f>
        <v>0</v>
      </c>
      <c r="J44" s="25" t="n">
        <f aca="false">E44+F44-MIN(Input!$B$44,E44+F44)</f>
        <v>0</v>
      </c>
      <c r="K44" s="25" t="n">
        <f aca="false">(D44+MIN(Input!$B$44,E44+F44))*(1+Input!$B$17)^(A44-Input!$B$36)</f>
        <v>0</v>
      </c>
      <c r="L44" s="25" t="n">
        <f aca="false">C44*0.0691</f>
        <v>0</v>
      </c>
      <c r="M44" s="25" t="n">
        <f aca="false">IF(B44&lt;Input!$B$6,M43*(1+Input!$B$49)+L44,M43)</f>
        <v>93174.6935220567</v>
      </c>
      <c r="N44" s="25" t="n">
        <f aca="false">IF(B44&lt;Input!$B$6,N43*(1+Input!$B$28)+L44,N43)</f>
        <v>117632.265015866</v>
      </c>
      <c r="O44" s="25" t="n">
        <f aca="false">L44*(1+Input!$B$17)^(A44-Input!$B$36)</f>
        <v>0</v>
      </c>
    </row>
    <row r="45" customFormat="false" ht="15" hidden="false" customHeight="true" outlineLevel="0" collapsed="false">
      <c r="A45" s="23" t="n">
        <v>40</v>
      </c>
      <c r="B45" s="24" t="n">
        <f aca="false">Input!$B$5+A45</f>
        <v>85</v>
      </c>
      <c r="C45" s="25" t="n">
        <f aca="false">IF(B45&lt;Input!$B$6, Input!$B$10*(1+Input!$B$12)^A45, 0)</f>
        <v>0</v>
      </c>
      <c r="D45" s="25" t="n">
        <f aca="false">C45*0.0691*Input!$B$21</f>
        <v>0</v>
      </c>
      <c r="E45" s="25" t="n">
        <f aca="false">IF(B45&lt;Input!$B$6,Input!$B$26+C45*Input!$B$47,0)</f>
        <v>0</v>
      </c>
      <c r="F45" s="25" t="n">
        <f aca="false">C45*Input!$B$27</f>
        <v>0</v>
      </c>
      <c r="G45" s="25" t="n">
        <f aca="false">H44*Input!$B$28</f>
        <v>8052.18081807651</v>
      </c>
      <c r="H45" s="25" t="n">
        <f aca="false">H44+D45+E45+F45+G45</f>
        <v>330139.413541137</v>
      </c>
      <c r="I45" s="25" t="n">
        <f aca="false">MIN(Input!$B$44,E45+F45)-MIN(Input!$B$44,F45+C45*Input!$B$47)</f>
        <v>0</v>
      </c>
      <c r="J45" s="25" t="n">
        <f aca="false">E45+F45-MIN(Input!$B$44,E45+F45)</f>
        <v>0</v>
      </c>
      <c r="K45" s="25" t="n">
        <f aca="false">(D45+MIN(Input!$B$44,E45+F45))*(1+Input!$B$17)^(A45-Input!$B$36)</f>
        <v>0</v>
      </c>
      <c r="L45" s="25" t="n">
        <f aca="false">C45*0.0691</f>
        <v>0</v>
      </c>
      <c r="M45" s="25" t="n">
        <f aca="false">IF(B45&lt;Input!$B$6,M44*(1+Input!$B$49)+L45,M44)</f>
        <v>93174.6935220567</v>
      </c>
      <c r="N45" s="25" t="n">
        <f aca="false">IF(B45&lt;Input!$B$6,N44*(1+Input!$B$28)+L45,N44)</f>
        <v>117632.265015866</v>
      </c>
      <c r="O45" s="25" t="n">
        <f aca="false">L45*(1+Input!$B$17)^(A45-Input!$B$36)</f>
        <v>0</v>
      </c>
    </row>
    <row r="46" customFormat="false" ht="15" hidden="false" customHeight="true" outlineLevel="0" collapsed="false">
      <c r="A46" s="23" t="n">
        <v>41</v>
      </c>
      <c r="B46" s="24" t="n">
        <f aca="false">Input!$B$5+A46</f>
        <v>86</v>
      </c>
      <c r="C46" s="25" t="n">
        <f aca="false">IF(B46&lt;Input!$B$6, Input!$B$10*(1+Input!$B$12)^A46, 0)</f>
        <v>0</v>
      </c>
      <c r="D46" s="25" t="n">
        <f aca="false">C46*0.0691*Input!$B$21</f>
        <v>0</v>
      </c>
      <c r="E46" s="25" t="n">
        <f aca="false">IF(B46&lt;Input!$B$6,Input!$B$26+C46*Input!$B$47,0)</f>
        <v>0</v>
      </c>
      <c r="F46" s="25" t="n">
        <f aca="false">C46*Input!$B$27</f>
        <v>0</v>
      </c>
      <c r="G46" s="25" t="n">
        <f aca="false">H45*Input!$B$28</f>
        <v>8253.48533852842</v>
      </c>
      <c r="H46" s="25" t="n">
        <f aca="false">H45+D46+E46+F46+G46</f>
        <v>338392.898879665</v>
      </c>
      <c r="I46" s="25" t="n">
        <f aca="false">MIN(Input!$B$44,E46+F46)-MIN(Input!$B$44,F46+C46*Input!$B$47)</f>
        <v>0</v>
      </c>
      <c r="J46" s="25" t="n">
        <f aca="false">E46+F46-MIN(Input!$B$44,E46+F46)</f>
        <v>0</v>
      </c>
      <c r="K46" s="25" t="n">
        <f aca="false">(D46+MIN(Input!$B$44,E46+F46))*(1+Input!$B$17)^(A46-Input!$B$36)</f>
        <v>0</v>
      </c>
      <c r="L46" s="25" t="n">
        <f aca="false">C46*0.0691</f>
        <v>0</v>
      </c>
      <c r="M46" s="25" t="n">
        <f aca="false">IF(B46&lt;Input!$B$6,M45*(1+Input!$B$49)+L46,M45)</f>
        <v>93174.6935220567</v>
      </c>
      <c r="N46" s="25" t="n">
        <f aca="false">IF(B46&lt;Input!$B$6,N45*(1+Input!$B$28)+L46,N45)</f>
        <v>117632.265015866</v>
      </c>
      <c r="O46" s="25" t="n">
        <f aca="false">L46*(1+Input!$B$17)^(A46-Input!$B$36)</f>
        <v>0</v>
      </c>
    </row>
    <row r="47" customFormat="false" ht="15" hidden="false" customHeight="true" outlineLevel="0" collapsed="false">
      <c r="A47" s="23" t="n">
        <v>42</v>
      </c>
      <c r="B47" s="24" t="n">
        <f aca="false">Input!$B$5+A47</f>
        <v>87</v>
      </c>
      <c r="C47" s="25" t="n">
        <f aca="false">IF(B47&lt;Input!$B$6, Input!$B$10*(1+Input!$B$12)^A47, 0)</f>
        <v>0</v>
      </c>
      <c r="D47" s="25" t="n">
        <f aca="false">C47*0.0691*Input!$B$21</f>
        <v>0</v>
      </c>
      <c r="E47" s="25" t="n">
        <f aca="false">IF(B47&lt;Input!$B$6,Input!$B$26+C47*Input!$B$47,0)</f>
        <v>0</v>
      </c>
      <c r="F47" s="25" t="n">
        <f aca="false">C47*Input!$B$27</f>
        <v>0</v>
      </c>
      <c r="G47" s="25" t="n">
        <f aca="false">H46*Input!$B$28</f>
        <v>8459.82247199163</v>
      </c>
      <c r="H47" s="25" t="n">
        <f aca="false">H46+D47+E47+F47+G47</f>
        <v>346852.721351657</v>
      </c>
      <c r="I47" s="25" t="n">
        <f aca="false">MIN(Input!$B$44,E47+F47)-MIN(Input!$B$44,F47+C47*Input!$B$47)</f>
        <v>0</v>
      </c>
      <c r="J47" s="25" t="n">
        <f aca="false">E47+F47-MIN(Input!$B$44,E47+F47)</f>
        <v>0</v>
      </c>
      <c r="K47" s="25" t="n">
        <f aca="false">(D47+MIN(Input!$B$44,E47+F47))*(1+Input!$B$17)^(A47-Input!$B$36)</f>
        <v>0</v>
      </c>
      <c r="L47" s="25" t="n">
        <f aca="false">C47*0.0691</f>
        <v>0</v>
      </c>
      <c r="M47" s="25" t="n">
        <f aca="false">IF(B47&lt;Input!$B$6,M46*(1+Input!$B$49)+L47,M46)</f>
        <v>93174.6935220567</v>
      </c>
      <c r="N47" s="25" t="n">
        <f aca="false">IF(B47&lt;Input!$B$6,N46*(1+Input!$B$28)+L47,N46)</f>
        <v>117632.265015866</v>
      </c>
      <c r="O47" s="25" t="n">
        <f aca="false">L47*(1+Input!$B$17)^(A47-Input!$B$36)</f>
        <v>0</v>
      </c>
    </row>
    <row r="48" customFormat="false" ht="15" hidden="false" customHeight="true" outlineLevel="0" collapsed="false">
      <c r="A48" s="23" t="n">
        <v>43</v>
      </c>
      <c r="B48" s="24" t="n">
        <f aca="false">Input!$B$5+A48</f>
        <v>88</v>
      </c>
      <c r="C48" s="25" t="n">
        <f aca="false">IF(B48&lt;Input!$B$6, Input!$B$10*(1+Input!$B$12)^A48, 0)</f>
        <v>0</v>
      </c>
      <c r="D48" s="25" t="n">
        <f aca="false">C48*0.0691*Input!$B$21</f>
        <v>0</v>
      </c>
      <c r="E48" s="25" t="n">
        <f aca="false">IF(B48&lt;Input!$B$6,Input!$B$26+C48*Input!$B$47,0)</f>
        <v>0</v>
      </c>
      <c r="F48" s="25" t="n">
        <f aca="false">C48*Input!$B$27</f>
        <v>0</v>
      </c>
      <c r="G48" s="25" t="n">
        <f aca="false">H47*Input!$B$28</f>
        <v>8671.31803379143</v>
      </c>
      <c r="H48" s="25" t="n">
        <f aca="false">H47+D48+E48+F48+G48</f>
        <v>355524.039385448</v>
      </c>
      <c r="I48" s="25" t="n">
        <f aca="false">MIN(Input!$B$44,E48+F48)-MIN(Input!$B$44,F48+C48*Input!$B$47)</f>
        <v>0</v>
      </c>
      <c r="J48" s="25" t="n">
        <f aca="false">E48+F48-MIN(Input!$B$44,E48+F48)</f>
        <v>0</v>
      </c>
      <c r="K48" s="25" t="n">
        <f aca="false">(D48+MIN(Input!$B$44,E48+F48))*(1+Input!$B$17)^(A48-Input!$B$36)</f>
        <v>0</v>
      </c>
      <c r="L48" s="25" t="n">
        <f aca="false">C48*0.0691</f>
        <v>0</v>
      </c>
      <c r="M48" s="25" t="n">
        <f aca="false">IF(B48&lt;Input!$B$6,M47*(1+Input!$B$49)+L48,M47)</f>
        <v>93174.6935220567</v>
      </c>
      <c r="N48" s="25" t="n">
        <f aca="false">IF(B48&lt;Input!$B$6,N47*(1+Input!$B$28)+L48,N47)</f>
        <v>117632.265015866</v>
      </c>
      <c r="O48" s="25" t="n">
        <f aca="false">L48*(1+Input!$B$17)^(A48-Input!$B$36)</f>
        <v>0</v>
      </c>
    </row>
    <row r="49" customFormat="false" ht="15" hidden="false" customHeight="true" outlineLevel="0" collapsed="false">
      <c r="A49" s="23" t="n">
        <v>44</v>
      </c>
      <c r="B49" s="24" t="n">
        <f aca="false">Input!$B$5+A49</f>
        <v>89</v>
      </c>
      <c r="C49" s="25" t="n">
        <f aca="false">IF(B49&lt;Input!$B$6, Input!$B$10*(1+Input!$B$12)^A49, 0)</f>
        <v>0</v>
      </c>
      <c r="D49" s="25" t="n">
        <f aca="false">C49*0.0691*Input!$B$21</f>
        <v>0</v>
      </c>
      <c r="E49" s="25" t="n">
        <f aca="false">IF(B49&lt;Input!$B$6,Input!$B$26+C49*Input!$B$47,0)</f>
        <v>0</v>
      </c>
      <c r="F49" s="25" t="n">
        <f aca="false">C49*Input!$B$27</f>
        <v>0</v>
      </c>
      <c r="G49" s="25" t="n">
        <f aca="false">H48*Input!$B$28</f>
        <v>8888.10098463621</v>
      </c>
      <c r="H49" s="25" t="n">
        <f aca="false">H48+D49+E49+F49+G49</f>
        <v>364412.140370085</v>
      </c>
      <c r="I49" s="25" t="n">
        <f aca="false">MIN(Input!$B$44,E49+F49)-MIN(Input!$B$44,F49+C49*Input!$B$47)</f>
        <v>0</v>
      </c>
      <c r="J49" s="25" t="n">
        <f aca="false">E49+F49-MIN(Input!$B$44,E49+F49)</f>
        <v>0</v>
      </c>
      <c r="K49" s="25" t="n">
        <f aca="false">(D49+MIN(Input!$B$44,E49+F49))*(1+Input!$B$17)^(A49-Input!$B$36)</f>
        <v>0</v>
      </c>
      <c r="L49" s="25" t="n">
        <f aca="false">C49*0.0691</f>
        <v>0</v>
      </c>
      <c r="M49" s="25" t="n">
        <f aca="false">IF(B49&lt;Input!$B$6,M48*(1+Input!$B$49)+L49,M48)</f>
        <v>93174.6935220567</v>
      </c>
      <c r="N49" s="25" t="n">
        <f aca="false">IF(B49&lt;Input!$B$6,N48*(1+Input!$B$28)+L49,N48)</f>
        <v>117632.265015866</v>
      </c>
      <c r="O49" s="25" t="n">
        <f aca="false">L49*(1+Input!$B$17)^(A49-Input!$B$36)</f>
        <v>0</v>
      </c>
    </row>
    <row r="50" customFormat="false" ht="15" hidden="false" customHeight="true" outlineLevel="0" collapsed="false">
      <c r="A50" s="23" t="n">
        <v>45</v>
      </c>
      <c r="B50" s="24" t="n">
        <f aca="false">Input!$B$5+A50</f>
        <v>90</v>
      </c>
      <c r="C50" s="25" t="n">
        <f aca="false">IF(B50&lt;Input!$B$6, Input!$B$10*(1+Input!$B$12)^A50, 0)</f>
        <v>0</v>
      </c>
      <c r="D50" s="25" t="n">
        <f aca="false">C50*0.0691*Input!$B$21</f>
        <v>0</v>
      </c>
      <c r="E50" s="25" t="n">
        <f aca="false">IF(B50&lt;Input!$B$6,Input!$B$26+C50*Input!$B$47,0)</f>
        <v>0</v>
      </c>
      <c r="F50" s="25" t="n">
        <f aca="false">C50*Input!$B$27</f>
        <v>0</v>
      </c>
      <c r="G50" s="25" t="n">
        <f aca="false">H49*Input!$B$28</f>
        <v>9110.30350925212</v>
      </c>
      <c r="H50" s="25" t="n">
        <f aca="false">H49+D50+E50+F50+G50</f>
        <v>373522.443879337</v>
      </c>
      <c r="I50" s="25" t="n">
        <f aca="false">MIN(Input!$B$44,E50+F50)-MIN(Input!$B$44,F50+C50*Input!$B$47)</f>
        <v>0</v>
      </c>
      <c r="J50" s="25" t="n">
        <f aca="false">E50+F50-MIN(Input!$B$44,E50+F50)</f>
        <v>0</v>
      </c>
      <c r="K50" s="25" t="n">
        <f aca="false">(D50+MIN(Input!$B$44,E50+F50))*(1+Input!$B$17)^(A50-Input!$B$36)</f>
        <v>0</v>
      </c>
      <c r="L50" s="25" t="n">
        <f aca="false">C50*0.0691</f>
        <v>0</v>
      </c>
      <c r="M50" s="25" t="n">
        <f aca="false">IF(B50&lt;Input!$B$6,M49*(1+Input!$B$49)+L50,M49)</f>
        <v>93174.6935220567</v>
      </c>
      <c r="N50" s="25" t="n">
        <f aca="false">IF(B50&lt;Input!$B$6,N49*(1+Input!$B$28)+L50,N49)</f>
        <v>117632.265015866</v>
      </c>
      <c r="O50" s="25" t="n">
        <f aca="false">L50*(1+Input!$B$17)^(A50-Input!$B$36)</f>
        <v>0</v>
      </c>
    </row>
    <row r="51" customFormat="false" ht="15" hidden="false" customHeight="true" outlineLevel="0" collapsed="false">
      <c r="A51" s="23" t="n">
        <v>46</v>
      </c>
      <c r="B51" s="24" t="n">
        <f aca="false">Input!$B$5+A51</f>
        <v>91</v>
      </c>
      <c r="C51" s="25" t="n">
        <f aca="false">IF(B51&lt;Input!$B$6, Input!$B$10*(1+Input!$B$12)^A51, 0)</f>
        <v>0</v>
      </c>
      <c r="D51" s="25" t="n">
        <f aca="false">C51*0.0691*Input!$B$21</f>
        <v>0</v>
      </c>
      <c r="E51" s="25" t="n">
        <f aca="false">IF(B51&lt;Input!$B$6,Input!$B$26+C51*Input!$B$47,0)</f>
        <v>0</v>
      </c>
      <c r="F51" s="25" t="n">
        <f aca="false">C51*Input!$B$27</f>
        <v>0</v>
      </c>
      <c r="G51" s="25" t="n">
        <f aca="false">H50*Input!$B$28</f>
        <v>9338.06109698342</v>
      </c>
      <c r="H51" s="25" t="n">
        <f aca="false">H50+D51+E51+F51+G51</f>
        <v>382860.50497632</v>
      </c>
      <c r="I51" s="25" t="n">
        <f aca="false">MIN(Input!$B$44,E51+F51)-MIN(Input!$B$44,F51+C51*Input!$B$47)</f>
        <v>0</v>
      </c>
      <c r="J51" s="25" t="n">
        <f aca="false">E51+F51-MIN(Input!$B$44,E51+F51)</f>
        <v>0</v>
      </c>
      <c r="K51" s="25" t="n">
        <f aca="false">(D51+MIN(Input!$B$44,E51+F51))*(1+Input!$B$17)^(A51-Input!$B$36)</f>
        <v>0</v>
      </c>
      <c r="L51" s="25" t="n">
        <f aca="false">C51*0.0691</f>
        <v>0</v>
      </c>
      <c r="M51" s="25" t="n">
        <f aca="false">IF(B51&lt;Input!$B$6,M50*(1+Input!$B$49)+L51,M50)</f>
        <v>93174.6935220567</v>
      </c>
      <c r="N51" s="25" t="n">
        <f aca="false">IF(B51&lt;Input!$B$6,N50*(1+Input!$B$28)+L51,N50)</f>
        <v>117632.265015866</v>
      </c>
      <c r="O51" s="25" t="n">
        <f aca="false">L51*(1+Input!$B$17)^(A51-Input!$B$36)</f>
        <v>0</v>
      </c>
    </row>
    <row r="52" customFormat="false" ht="15" hidden="false" customHeight="true" outlineLevel="0" collapsed="false">
      <c r="A52" s="23" t="n">
        <v>47</v>
      </c>
      <c r="B52" s="24" t="n">
        <f aca="false">Input!$B$5+A52</f>
        <v>92</v>
      </c>
      <c r="C52" s="25" t="n">
        <f aca="false">IF(B52&lt;Input!$B$6, Input!$B$10*(1+Input!$B$12)^A52, 0)</f>
        <v>0</v>
      </c>
      <c r="D52" s="25" t="n">
        <f aca="false">C52*0.0691*Input!$B$21</f>
        <v>0</v>
      </c>
      <c r="E52" s="25" t="n">
        <f aca="false">IF(B52&lt;Input!$B$6,Input!$B$26+C52*Input!$B$47,0)</f>
        <v>0</v>
      </c>
      <c r="F52" s="25" t="n">
        <f aca="false">C52*Input!$B$27</f>
        <v>0</v>
      </c>
      <c r="G52" s="25" t="n">
        <f aca="false">H51*Input!$B$28</f>
        <v>9571.51262440801</v>
      </c>
      <c r="H52" s="25" t="n">
        <f aca="false">H51+D52+E52+F52+G52</f>
        <v>392432.017600728</v>
      </c>
      <c r="I52" s="25" t="n">
        <f aca="false">MIN(Input!$B$44,E52+F52)-MIN(Input!$B$44,F52+C52*Input!$B$47)</f>
        <v>0</v>
      </c>
      <c r="J52" s="25" t="n">
        <f aca="false">E52+F52-MIN(Input!$B$44,E52+F52)</f>
        <v>0</v>
      </c>
      <c r="K52" s="25" t="n">
        <f aca="false">(D52+MIN(Input!$B$44,E52+F52))*(1+Input!$B$17)^(A52-Input!$B$36)</f>
        <v>0</v>
      </c>
      <c r="L52" s="25" t="n">
        <f aca="false">C52*0.0691</f>
        <v>0</v>
      </c>
      <c r="M52" s="25" t="n">
        <f aca="false">IF(B52&lt;Input!$B$6,M51*(1+Input!$B$49)+L52,M51)</f>
        <v>93174.6935220567</v>
      </c>
      <c r="N52" s="25" t="n">
        <f aca="false">IF(B52&lt;Input!$B$6,N51*(1+Input!$B$28)+L52,N51)</f>
        <v>117632.265015866</v>
      </c>
      <c r="O52" s="25" t="n">
        <f aca="false">L52*(1+Input!$B$17)^(A52-Input!$B$36)</f>
        <v>0</v>
      </c>
    </row>
    <row r="53" customFormat="false" ht="15" hidden="false" customHeight="true" outlineLevel="0" collapsed="false">
      <c r="A53" s="23" t="n">
        <v>48</v>
      </c>
      <c r="B53" s="24" t="n">
        <f aca="false">Input!$B$5+A53</f>
        <v>93</v>
      </c>
      <c r="C53" s="25" t="n">
        <f aca="false">IF(B53&lt;Input!$B$6, Input!$B$10*(1+Input!$B$12)^A53, 0)</f>
        <v>0</v>
      </c>
      <c r="D53" s="25" t="n">
        <f aca="false">C53*0.0691*Input!$B$21</f>
        <v>0</v>
      </c>
      <c r="E53" s="25" t="n">
        <f aca="false">IF(B53&lt;Input!$B$6,Input!$B$26+C53*Input!$B$47,0)</f>
        <v>0</v>
      </c>
      <c r="F53" s="25" t="n">
        <f aca="false">C53*Input!$B$27</f>
        <v>0</v>
      </c>
      <c r="G53" s="25" t="n">
        <f aca="false">H52*Input!$B$28</f>
        <v>9810.80044001821</v>
      </c>
      <c r="H53" s="25" t="n">
        <f aca="false">H52+D53+E53+F53+G53</f>
        <v>402242.818040746</v>
      </c>
      <c r="I53" s="25" t="n">
        <f aca="false">MIN(Input!$B$44,E53+F53)-MIN(Input!$B$44,F53+C53*Input!$B$47)</f>
        <v>0</v>
      </c>
      <c r="J53" s="25" t="n">
        <f aca="false">E53+F53-MIN(Input!$B$44,E53+F53)</f>
        <v>0</v>
      </c>
      <c r="K53" s="25" t="n">
        <f aca="false">(D53+MIN(Input!$B$44,E53+F53))*(1+Input!$B$17)^(A53-Input!$B$36)</f>
        <v>0</v>
      </c>
      <c r="L53" s="25" t="n">
        <f aca="false">C53*0.0691</f>
        <v>0</v>
      </c>
      <c r="M53" s="25" t="n">
        <f aca="false">IF(B53&lt;Input!$B$6,M52*(1+Input!$B$49)+L53,M52)</f>
        <v>93174.6935220567</v>
      </c>
      <c r="N53" s="25" t="n">
        <f aca="false">IF(B53&lt;Input!$B$6,N52*(1+Input!$B$28)+L53,N52)</f>
        <v>117632.265015866</v>
      </c>
      <c r="O53" s="25" t="n">
        <f aca="false">L53*(1+Input!$B$17)^(A53-Input!$B$36)</f>
        <v>0</v>
      </c>
    </row>
    <row r="54" customFormat="false" ht="15" hidden="false" customHeight="true" outlineLevel="0" collapsed="false">
      <c r="A54" s="23" t="n">
        <v>49</v>
      </c>
      <c r="B54" s="24" t="n">
        <f aca="false">Input!$B$5+A54</f>
        <v>94</v>
      </c>
      <c r="C54" s="25" t="n">
        <f aca="false">IF(B54&lt;Input!$B$6, Input!$B$10*(1+Input!$B$12)^A54, 0)</f>
        <v>0</v>
      </c>
      <c r="D54" s="25" t="n">
        <f aca="false">C54*0.0691*Input!$B$21</f>
        <v>0</v>
      </c>
      <c r="E54" s="25" t="n">
        <f aca="false">IF(B54&lt;Input!$B$6,Input!$B$26+C54*Input!$B$47,0)</f>
        <v>0</v>
      </c>
      <c r="F54" s="25" t="n">
        <f aca="false">C54*Input!$B$27</f>
        <v>0</v>
      </c>
      <c r="G54" s="25" t="n">
        <f aca="false">H53*Input!$B$28</f>
        <v>10056.0704510187</v>
      </c>
      <c r="H54" s="25" t="n">
        <f aca="false">H53+D54+E54+F54+G54</f>
        <v>412298.888491765</v>
      </c>
      <c r="I54" s="25" t="n">
        <f aca="false">MIN(Input!$B$44,E54+F54)-MIN(Input!$B$44,F54+C54*Input!$B$47)</f>
        <v>0</v>
      </c>
      <c r="J54" s="25" t="n">
        <f aca="false">E54+F54-MIN(Input!$B$44,E54+F54)</f>
        <v>0</v>
      </c>
      <c r="K54" s="25" t="n">
        <f aca="false">(D54+MIN(Input!$B$44,E54+F54))*(1+Input!$B$17)^(A54-Input!$B$36)</f>
        <v>0</v>
      </c>
      <c r="L54" s="25" t="n">
        <f aca="false">C54*0.0691</f>
        <v>0</v>
      </c>
      <c r="M54" s="25" t="n">
        <f aca="false">IF(B54&lt;Input!$B$6,M53*(1+Input!$B$49)+L54,M53)</f>
        <v>93174.6935220567</v>
      </c>
      <c r="N54" s="25" t="n">
        <f aca="false">IF(B54&lt;Input!$B$6,N53*(1+Input!$B$28)+L54,N53)</f>
        <v>117632.265015866</v>
      </c>
      <c r="O54" s="25" t="n">
        <f aca="false">L54*(1+Input!$B$17)^(A54-Input!$B$36)</f>
        <v>0</v>
      </c>
    </row>
    <row r="57" customFormat="false" ht="15" hidden="false" customHeight="true" outlineLevel="0" collapsed="false">
      <c r="A57" s="4" t="s">
        <v>92</v>
      </c>
      <c r="B57" s="4"/>
      <c r="C57" s="4"/>
      <c r="D57" s="4"/>
      <c r="E57" s="4"/>
      <c r="F57" s="4"/>
      <c r="G57" s="4"/>
      <c r="H57" s="4"/>
    </row>
    <row r="58" customFormat="false" ht="15" hidden="false" customHeight="true" outlineLevel="0" collapsed="false">
      <c r="A58" s="5" t="s">
        <v>118</v>
      </c>
      <c r="B58" s="15" t="n">
        <f aca="false">INDEX(H5:H54, MATCH(Input!$B$6-1, B5:B54, 0))</f>
        <v>206511.353456026</v>
      </c>
    </row>
    <row r="59" customFormat="false" ht="15" hidden="false" customHeight="true" outlineLevel="0" collapsed="false">
      <c r="A59" s="5" t="s">
        <v>119</v>
      </c>
      <c r="B59" s="30" t="n">
        <f aca="false">Input!$B$38</f>
        <v>0.114</v>
      </c>
    </row>
    <row r="60" customFormat="false" ht="15" hidden="false" customHeight="true" outlineLevel="0" collapsed="false">
      <c r="A60" s="5" t="s">
        <v>120</v>
      </c>
      <c r="B60" s="15" t="n">
        <f aca="false">((Input!$B$22*Input!$B$21+Input!$B$25)*(1+Input!$B$17)^(-Input!$B$36)+SUM(K5:K54))*Input!$B$38</f>
        <v>14037.7117311744</v>
      </c>
    </row>
    <row r="61" customFormat="false" ht="15" hidden="false" customHeight="true" outlineLevel="0" collapsed="false">
      <c r="A61" s="21" t="s">
        <v>121</v>
      </c>
      <c r="B61" s="29" t="n">
        <f aca="false">B58-B60</f>
        <v>192473.641724852</v>
      </c>
    </row>
    <row r="62" customFormat="false" ht="15" hidden="false" customHeight="true" outlineLevel="0" collapsed="false">
      <c r="A62" s="5" t="s">
        <v>122</v>
      </c>
      <c r="B62" s="15" t="n">
        <f aca="false">B61*0.055</f>
        <v>10586.0502948668</v>
      </c>
    </row>
    <row r="63" customFormat="false" ht="15" hidden="false" customHeight="true" outlineLevel="0" collapsed="false">
      <c r="A63" s="5" t="s">
        <v>123</v>
      </c>
      <c r="B63" s="15" t="n">
        <f aca="false">B62/13</f>
        <v>814.311561143603</v>
      </c>
    </row>
    <row r="64" customFormat="false" ht="15" hidden="false" customHeight="true" outlineLevel="0" collapsed="false">
      <c r="A64" s="5" t="s">
        <v>124</v>
      </c>
      <c r="B64" s="15" t="n">
        <f aca="false">SUM(I5:I54)*Input!$B$37</f>
        <v>14520</v>
      </c>
    </row>
    <row r="66" customFormat="false" ht="15" hidden="false" customHeight="true" outlineLevel="0" collapsed="false">
      <c r="A66" s="21" t="s">
        <v>125</v>
      </c>
    </row>
    <row r="67" customFormat="false" ht="15" hidden="false" customHeight="true" outlineLevel="0" collapsed="false">
      <c r="A67" s="22" t="s">
        <v>126</v>
      </c>
      <c r="B67" s="22"/>
      <c r="C67" s="22"/>
      <c r="D67" s="22"/>
      <c r="E67" s="22"/>
      <c r="F67" s="22"/>
      <c r="G67" s="22"/>
      <c r="H67" s="22"/>
    </row>
    <row r="68" customFormat="false" ht="15" hidden="false" customHeight="true" outlineLevel="0" collapsed="false">
      <c r="A68" s="22" t="s">
        <v>127</v>
      </c>
      <c r="B68" s="22"/>
      <c r="C68" s="22"/>
      <c r="D68" s="22"/>
      <c r="E68" s="22"/>
      <c r="F68" s="22"/>
      <c r="G68" s="22"/>
      <c r="H68" s="22"/>
    </row>
    <row r="69" customFormat="false" ht="15" hidden="false" customHeight="true" outlineLevel="0" collapsed="false">
      <c r="A69" s="22" t="s">
        <v>128</v>
      </c>
      <c r="B69" s="22"/>
      <c r="C69" s="22"/>
      <c r="D69" s="22"/>
      <c r="E69" s="22"/>
      <c r="F69" s="22"/>
      <c r="G69" s="22"/>
      <c r="H69" s="22"/>
    </row>
    <row r="70" customFormat="false" ht="15" hidden="false" customHeight="true" outlineLevel="0" collapsed="false">
      <c r="A70" s="22" t="s">
        <v>129</v>
      </c>
      <c r="B70" s="22"/>
      <c r="C70" s="22"/>
      <c r="D70" s="22"/>
      <c r="E70" s="22"/>
      <c r="F70" s="22"/>
      <c r="G70" s="22"/>
      <c r="H70" s="22"/>
    </row>
    <row r="71" customFormat="false" ht="15" hidden="false" customHeight="true" outlineLevel="0" collapsed="false">
      <c r="A71" s="22" t="s">
        <v>130</v>
      </c>
      <c r="B71" s="22"/>
      <c r="C71" s="22"/>
      <c r="D71" s="22"/>
      <c r="E71" s="22"/>
      <c r="F71" s="22"/>
      <c r="G71" s="22"/>
      <c r="H71" s="22"/>
    </row>
    <row r="73" customFormat="false" ht="15" hidden="false" customHeight="true" outlineLevel="0" collapsed="false">
      <c r="A73" s="4" t="s">
        <v>131</v>
      </c>
      <c r="B73" s="4"/>
      <c r="C73" s="4"/>
      <c r="D73" s="4"/>
      <c r="E73" s="4"/>
      <c r="F73" s="4"/>
      <c r="G73" s="4"/>
      <c r="H73" s="4"/>
    </row>
    <row r="74" customFormat="false" ht="15" hidden="false" customHeight="true" outlineLevel="0" collapsed="false">
      <c r="A74" s="5" t="s">
        <v>132</v>
      </c>
      <c r="B74" s="15" t="n">
        <f aca="false">MAX(0,Input!$B$44-F5-C5*Input!$B$47)</f>
        <v>4625</v>
      </c>
    </row>
    <row r="75" customFormat="false" ht="15" hidden="false" customHeight="true" outlineLevel="0" collapsed="false">
      <c r="A75" s="5" t="s">
        <v>133</v>
      </c>
      <c r="B75" s="15" t="n">
        <f aca="false">SUM(J5:J54)</f>
        <v>0</v>
      </c>
    </row>
    <row r="76" customFormat="false" ht="15" hidden="false" customHeight="true" outlineLevel="0" collapsed="false">
      <c r="A76" s="22" t="s">
        <v>134</v>
      </c>
      <c r="B76" s="22"/>
      <c r="C76" s="22"/>
      <c r="D76" s="22"/>
      <c r="E76" s="22"/>
      <c r="F76" s="22"/>
      <c r="G76" s="22"/>
      <c r="H76" s="22"/>
    </row>
    <row r="77" customFormat="false" ht="15" hidden="false" customHeight="true" outlineLevel="0" collapsed="false">
      <c r="A77" s="22" t="s">
        <v>135</v>
      </c>
      <c r="B77" s="22"/>
      <c r="C77" s="22"/>
      <c r="D77" s="22"/>
      <c r="E77" s="22"/>
      <c r="F77" s="22"/>
      <c r="G77" s="22"/>
      <c r="H77" s="22"/>
    </row>
    <row r="79" customFormat="false" ht="15" hidden="false" customHeight="true" outlineLevel="0" collapsed="false">
      <c r="A79" s="4" t="s">
        <v>136</v>
      </c>
      <c r="B79" s="4"/>
      <c r="C79" s="4"/>
      <c r="D79" s="4"/>
      <c r="E79" s="4"/>
      <c r="F79" s="4"/>
      <c r="G79" s="4"/>
      <c r="H79" s="4"/>
    </row>
    <row r="80" customFormat="false" ht="15" hidden="false" customHeight="true" outlineLevel="0" collapsed="false">
      <c r="A80" s="5" t="s">
        <v>137</v>
      </c>
      <c r="B80" s="15" t="n">
        <f aca="false">INDEX(M5:M54,MATCH(Input!$B$6-1,B5:B54,0))</f>
        <v>93174.6935220567</v>
      </c>
    </row>
    <row r="81" customFormat="false" ht="15" hidden="false" customHeight="true" outlineLevel="0" collapsed="false">
      <c r="A81" s="5" t="s">
        <v>138</v>
      </c>
      <c r="B81" s="15" t="n">
        <f aca="false">Input!$B$22*Input!$B$21*(1+Input!$B$17)^(-Input!$B$36)+SUM(O5:O54)</f>
        <v>70423.5321133614</v>
      </c>
    </row>
    <row r="82" customFormat="false" ht="15" hidden="false" customHeight="true" outlineLevel="0" collapsed="false">
      <c r="A82" s="5" t="s">
        <v>139</v>
      </c>
      <c r="B82" s="15" t="n">
        <f aca="false">B81*12/(Input!$B$48*Input!$B$21+Input!$B$36)</f>
        <v>33803.2954144135</v>
      </c>
    </row>
    <row r="83" customFormat="false" ht="15" hidden="false" customHeight="true" outlineLevel="0" collapsed="false">
      <c r="A83" s="5" t="s">
        <v>140</v>
      </c>
      <c r="B83" s="11" t="n">
        <f aca="false">IF(B82&lt;=0,0,IF(B82&lt;=28000,B82*0.23,IF(B82&lt;=50000,6440+(B82-28000)*0.33,13700+(B82-50000)*0.43))/B82)</f>
        <v>0.247167839239541</v>
      </c>
    </row>
    <row r="84" customFormat="false" ht="15" hidden="false" customHeight="true" outlineLevel="0" collapsed="false">
      <c r="A84" s="21" t="s">
        <v>141</v>
      </c>
      <c r="B84" s="29" t="n">
        <f aca="false">B80-B81*B83</f>
        <v>75768.2612579807</v>
      </c>
    </row>
    <row r="85" customFormat="false" ht="15" hidden="false" customHeight="true" outlineLevel="0" collapsed="false">
      <c r="A85" s="5" t="s">
        <v>142</v>
      </c>
      <c r="B85" s="15" t="n">
        <f aca="false">INDEX(N5:N54,MATCH(Input!$B$6-1,B5:B54,0))</f>
        <v>117632.265015866</v>
      </c>
    </row>
    <row r="86" customFormat="false" ht="15" hidden="false" customHeight="true" outlineLevel="0" collapsed="false">
      <c r="A86" s="5" t="s">
        <v>143</v>
      </c>
      <c r="B86" s="15" t="n">
        <f aca="false">B81*Input!$B$38</f>
        <v>8028.2826609232</v>
      </c>
    </row>
    <row r="87" customFormat="false" ht="15" hidden="false" customHeight="true" outlineLevel="0" collapsed="false">
      <c r="A87" s="21" t="s">
        <v>144</v>
      </c>
      <c r="B87" s="29" t="n">
        <f aca="false">B85-B86</f>
        <v>109603.982354942</v>
      </c>
    </row>
    <row r="88" customFormat="false" ht="15" hidden="false" customHeight="true" outlineLevel="0" collapsed="false">
      <c r="A88" s="21" t="s">
        <v>145</v>
      </c>
      <c r="B88" s="29" t="n">
        <f aca="false">B87-B84</f>
        <v>33835.7210969616</v>
      </c>
    </row>
    <row r="89" customFormat="false" ht="15" hidden="false" customHeight="true" outlineLevel="0" collapsed="false">
      <c r="A89" s="22" t="s">
        <v>146</v>
      </c>
      <c r="B89" s="22"/>
      <c r="C89" s="22"/>
      <c r="D89" s="22"/>
      <c r="E89" s="22"/>
      <c r="F89" s="22"/>
      <c r="G89" s="22"/>
      <c r="H89" s="22"/>
    </row>
    <row r="90" customFormat="false" ht="15" hidden="false" customHeight="true" outlineLevel="0" collapsed="false">
      <c r="A90" s="22" t="s">
        <v>147</v>
      </c>
      <c r="B90" s="22"/>
      <c r="C90" s="22"/>
      <c r="D90" s="22"/>
      <c r="E90" s="22"/>
      <c r="F90" s="22"/>
      <c r="G90" s="22"/>
      <c r="H90" s="22"/>
    </row>
    <row r="91" customFormat="false" ht="15" hidden="false" customHeight="true" outlineLevel="0" collapsed="false">
      <c r="A91" s="22" t="s">
        <v>148</v>
      </c>
      <c r="B91" s="22"/>
      <c r="C91" s="22"/>
      <c r="D91" s="22"/>
      <c r="E91" s="22"/>
      <c r="F91" s="22"/>
      <c r="G91" s="22"/>
      <c r="H91" s="22"/>
    </row>
  </sheetData>
  <mergeCells count="15">
    <mergeCell ref="A1:H1"/>
    <mergeCell ref="A2:H2"/>
    <mergeCell ref="A57:H57"/>
    <mergeCell ref="A67:H67"/>
    <mergeCell ref="A68:H68"/>
    <mergeCell ref="A69:H69"/>
    <mergeCell ref="A70:H70"/>
    <mergeCell ref="A71:H71"/>
    <mergeCell ref="A73:H73"/>
    <mergeCell ref="A76:H76"/>
    <mergeCell ref="A77:H77"/>
    <mergeCell ref="A79:H79"/>
    <mergeCell ref="A89:H89"/>
    <mergeCell ref="A90:H90"/>
    <mergeCell ref="A91:H9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6"/>
  </cols>
  <sheetData>
    <row r="1" customFormat="false" ht="17.25" hidden="false" customHeight="true" outlineLevel="0" collapsed="false">
      <c r="A1" s="2" t="s">
        <v>149</v>
      </c>
      <c r="B1" s="2"/>
      <c r="C1" s="2"/>
      <c r="D1" s="2"/>
    </row>
    <row r="2" customFormat="false" ht="15" hidden="false" customHeight="true" outlineLevel="0" collapsed="false">
      <c r="A2" s="3" t="s">
        <v>150</v>
      </c>
      <c r="B2" s="3"/>
      <c r="C2" s="3"/>
      <c r="D2" s="3"/>
    </row>
    <row r="4" customFormat="false" ht="15" hidden="false" customHeight="true" outlineLevel="0" collapsed="false">
      <c r="A4" s="17" t="s">
        <v>151</v>
      </c>
      <c r="B4" s="17" t="s">
        <v>152</v>
      </c>
      <c r="C4" s="17" t="s">
        <v>153</v>
      </c>
      <c r="D4" s="17" t="s">
        <v>154</v>
      </c>
    </row>
    <row r="5" customFormat="false" ht="15" hidden="false" customHeight="true" outlineLevel="0" collapsed="false">
      <c r="A5" s="5" t="s">
        <v>155</v>
      </c>
      <c r="B5" s="31" t="n">
        <f aca="false">Input!$B$12-0.01</f>
        <v>0.005</v>
      </c>
      <c r="C5" s="32" t="n">
        <f aca="false">Input!$B$12</f>
        <v>0.015</v>
      </c>
      <c r="D5" s="31" t="n">
        <f aca="false">Input!$B$12+0.01</f>
        <v>0.025</v>
      </c>
    </row>
    <row r="6" customFormat="false" ht="15" hidden="false" customHeight="true" outlineLevel="0" collapsed="false">
      <c r="A6" s="5" t="s">
        <v>156</v>
      </c>
      <c r="B6" s="31" t="n">
        <f aca="false">MAX(0,Input!$B$16-0.005)</f>
        <v>0</v>
      </c>
      <c r="C6" s="32" t="n">
        <f aca="false">Input!$B$16</f>
        <v>0.005</v>
      </c>
      <c r="D6" s="31" t="n">
        <f aca="false">Input!$B$16+0.005</f>
        <v>0.01</v>
      </c>
    </row>
    <row r="7" customFormat="false" ht="15" hidden="false" customHeight="true" outlineLevel="0" collapsed="false">
      <c r="A7" s="5" t="s">
        <v>157</v>
      </c>
      <c r="B7" s="31" t="n">
        <f aca="false">Input!$B$17+0.005</f>
        <v>0.025</v>
      </c>
      <c r="C7" s="32" t="n">
        <f aca="false">Input!$B$17</f>
        <v>0.02</v>
      </c>
      <c r="D7" s="31" t="n">
        <f aca="false">MAX(0,Input!$B$17-0.005)</f>
        <v>0.015</v>
      </c>
    </row>
    <row r="8" customFormat="false" ht="15" hidden="false" customHeight="true" outlineLevel="0" collapsed="false">
      <c r="A8" s="5" t="s">
        <v>25</v>
      </c>
      <c r="B8" s="31" t="n">
        <f aca="false">Input!$B$18+0.004</f>
        <v>0.022</v>
      </c>
      <c r="C8" s="32" t="n">
        <f aca="false">Input!$B$18</f>
        <v>0.018</v>
      </c>
      <c r="D8" s="31" t="n">
        <f aca="false">MAX(0,Input!$B$18-0.003)</f>
        <v>0.015</v>
      </c>
    </row>
    <row r="9" customFormat="false" ht="15" hidden="false" customHeight="true" outlineLevel="0" collapsed="false">
      <c r="A9" s="5" t="s">
        <v>39</v>
      </c>
      <c r="B9" s="32" t="n">
        <f aca="false">Input!$B$28-0.01</f>
        <v>0.015</v>
      </c>
      <c r="C9" s="32" t="n">
        <f aca="false">Input!$B$28</f>
        <v>0.025</v>
      </c>
      <c r="D9" s="32" t="n">
        <f aca="false">Input!$B$28+0.01</f>
        <v>0.035</v>
      </c>
    </row>
    <row r="11" customFormat="false" ht="15" hidden="false" customHeight="true" outlineLevel="0" collapsed="false">
      <c r="A11" s="5" t="s">
        <v>158</v>
      </c>
      <c r="B11" s="26" t="n">
        <f aca="false">(Pubblica!$E$5*(1+B6)^Input!$B$36+SUMPRODUCT((Pubblica!$A$5:$A$54&lt;Input!$B$36)*((Input!$B$10*(1+B5)^Pubblica!$A$5:$A$54+Input!$B$43-ABS(Input!$B$10*(1+B5)^Pubblica!$A$5:$A$54-Input!$B$43))/2)*Input!$B$13*(1+B6)^(Input!$B$36-1-Pubblica!$A$5:$A$54)))*VLOOKUP(Input!$B$6,Coefficienti!$A$5:$C$19,3,FALSE())*(1-B8)^(Input!$B$36/2)</f>
        <v>25766.9337894376</v>
      </c>
      <c r="C11" s="26" t="n">
        <f aca="false">(Pubblica!$E$5*(1+C6)^Input!$B$36+SUMPRODUCT((Pubblica!$A$5:$A$54&lt;Input!$B$36)*((Input!$B$10*(1+C5)^Pubblica!$A$5:$A$54+Input!$B$43-ABS(Input!$B$10*(1+C5)^Pubblica!$A$5:$A$54-Input!$B$43))/2)*Input!$B$13*(1+C6)^(Input!$B$36-1-Pubblica!$A$5:$A$54)))*VLOOKUP(Input!$B$6,Coefficienti!$A$5:$C$19,3,FALSE())*(1-C8)^(Input!$B$36/2)</f>
        <v>30945.0296217775</v>
      </c>
      <c r="D11" s="26" t="n">
        <f aca="false">(Pubblica!$E$5*(1+D6)^Input!$B$36+SUMPRODUCT((Pubblica!$A$5:$A$54&lt;Input!$B$36)*((Input!$B$10*(1+D5)^Pubblica!$A$5:$A$54+Input!$B$43-ABS(Input!$B$10*(1+D5)^Pubblica!$A$5:$A$54-Input!$B$43))/2)*Input!$B$13*(1+D6)^(Input!$B$36-1-Pubblica!$A$5:$A$54)))*VLOOKUP(Input!$B$6,Coefficienti!$A$5:$C$19,3,FALSE())*(1-D8)^(Input!$B$36/2)</f>
        <v>36749.1904697818</v>
      </c>
    </row>
    <row r="12" customFormat="false" ht="15" hidden="false" customHeight="true" outlineLevel="0" collapsed="false">
      <c r="A12" s="5" t="s">
        <v>159</v>
      </c>
      <c r="B12" s="26" t="n">
        <f aca="false">B11-MAX(0,IF(B11&lt;=28000,B11*0.23,IF(B11&lt;=50000,6440+(B11-28000)*0.33,13700+(B11-50000)*0.43))-IF(B11&lt;=8500,1955,IF(B11&lt;=28000,700+1255*(28000-B11)/19500,IF(B11&lt;=50000,700*(50000-B11)/22000,0))))-IF(IF(B11&lt;=28000,B11*0.23,IF(B11&lt;=50000,6440+(B11-28000)*0.33,13700+(B11-50000)*0.43))-IF(B11&lt;=8500,1955,IF(B11&lt;=28000,700+1255*(28000-B11)/19500,IF(B11&lt;=50000,700*(50000-B11)/22000,0)))&gt;0,B11*0.02,0)</f>
        <v>20168.9181930657</v>
      </c>
      <c r="C12" s="26" t="n">
        <f aca="false">C11-MAX(0,IF(C11&lt;=28000,C11*0.23,IF(C11&lt;=50000,6440+(C11-28000)*0.33,13700+(C11-50000)*0.43))-IF(C11&lt;=8500,1955,IF(C11&lt;=28000,700+1255*(28000-C11)/19500,IF(C11&lt;=50000,700*(50000-C11)/22000,0))))-IF(IF(C11&lt;=28000,C11*0.23,IF(C11&lt;=50000,6440+(C11-28000)*0.33,13700+(C11-50000)*0.43))-IF(C11&lt;=8500,1955,IF(C11&lt;=28000,700+1255*(28000-C11)/19500,IF(C11&lt;=50000,700*(50000-C11)/22000,0)))&gt;0,C11*0.02,0)</f>
        <v>23520.5637661897</v>
      </c>
      <c r="D12" s="26" t="n">
        <f aca="false">D11-MAX(0,IF(D11&lt;=28000,D11*0.23,IF(D11&lt;=50000,6440+(D11-28000)*0.33,13700+(D11-50000)*0.43))-IF(D11&lt;=8500,1955,IF(D11&lt;=28000,700+1255*(28000-D11)/19500,IF(D11&lt;=50000,700*(50000-D11)/22000,0))))-IF(IF(D11&lt;=28000,D11*0.23,IF(D11&lt;=50000,6440+(D11-28000)*0.33,13700+(D11-50000)*0.43))-IF(D11&lt;=8500,1955,IF(D11&lt;=28000,700+1255*(28000-D11)/19500,IF(D11&lt;=50000,700*(50000-D11)/22000,0)))&gt;0,D11*0.02,0)</f>
        <v>27108.5904722287</v>
      </c>
    </row>
    <row r="13" customFormat="false" ht="15" hidden="false" customHeight="true" outlineLevel="0" collapsed="false">
      <c r="A13" s="5" t="s">
        <v>160</v>
      </c>
      <c r="B13" s="26" t="n">
        <f aca="false">(Input!$B$22*Input!$B$21+Input!$B$25)*(1+B9)^Input!$B$36+SUMPRODUCT((Complementare!$A$5:$A$54&lt;Input!$B$36)*(Input!$B$10*(1+B5)^Complementare!$A$5:$A$54*(0.0691*Input!$B$21+Input!$B$27+Input!$B$47)+Input!$B$26)*(1+B9)^(Input!$B$36-1-Complementare!$A$5:$A$54))</f>
        <v>172497.30771332</v>
      </c>
      <c r="C13" s="26" t="n">
        <f aca="false">(Input!$B$22*Input!$B$21+Input!$B$25)*(1+C9)^Input!$B$36+SUMPRODUCT((Complementare!$A$5:$A$54&lt;Input!$B$36)*(Input!$B$10*(1+C5)^Complementare!$A$5:$A$54*(0.0691*Input!$B$21+Input!$B$27+Input!$B$47)+Input!$B$26)*(1+C9)^(Input!$B$36-1-Complementare!$A$5:$A$54))</f>
        <v>206511.353456026</v>
      </c>
      <c r="D13" s="26" t="n">
        <f aca="false">(Input!$B$22*Input!$B$21+Input!$B$25)*(1+D9)^Input!$B$36+SUMPRODUCT((Complementare!$A$5:$A$54&lt;Input!$B$36)*(Input!$B$10*(1+D5)^Complementare!$A$5:$A$54*(0.0691*Input!$B$21+Input!$B$27+Input!$B$47)+Input!$B$26)*(1+D9)^(Input!$B$36-1-Complementare!$A$5:$A$54))</f>
        <v>247509.315024691</v>
      </c>
    </row>
    <row r="14" customFormat="false" ht="15" hidden="false" customHeight="true" outlineLevel="0" collapsed="false">
      <c r="A14" s="5" t="s">
        <v>161</v>
      </c>
      <c r="B14" s="26" t="n">
        <f aca="false">B13-((Input!$B$22*Input!$B$21+Input!$B$25)*(1+B7)^(-Input!$B$36)+SUMPRODUCT((Complementare!$A$5:$A$54&lt;Input!$B$36)*(Input!$B$10*(1+B5)^Complementare!$A$5:$A$54*0.0691*Input!$B$21+((Input!$B$44+(Input!$B$26+Input!$B$10*(1+B5)^Complementare!$A$5:$A$54*(Input!$B$47+Input!$B$27))-ABS(Input!$B$44-(Input!$B$26+Input!$B$10*(1+B5)^Complementare!$A$5:$A$54*(Input!$B$47+Input!$B$27))))/2))*(1+B7)^(Complementare!$A$5:$A$54-Input!$B$36)))*Input!$B$38</f>
        <v>160150.449045567</v>
      </c>
      <c r="C14" s="26" t="n">
        <f aca="false">C13-((Input!$B$22*Input!$B$21+Input!$B$25)*(1+C7)^(-Input!$B$36)+SUMPRODUCT((Complementare!$A$5:$A$54&lt;Input!$B$36)*(Input!$B$10*(1+C5)^Complementare!$A$5:$A$54*0.0691*Input!$B$21+((Input!$B$44+(Input!$B$26+Input!$B$10*(1+C5)^Complementare!$A$5:$A$54*(Input!$B$47+Input!$B$27))-ABS(Input!$B$44-(Input!$B$26+Input!$B$10*(1+C5)^Complementare!$A$5:$A$54*(Input!$B$47+Input!$B$27))))/2))*(1+C7)^(Complementare!$A$5:$A$54-Input!$B$36)))*Input!$B$38</f>
        <v>192473.641724851</v>
      </c>
      <c r="D14" s="26" t="n">
        <f aca="false">D13-((Input!$B$22*Input!$B$21+Input!$B$25)*(1+D7)^(-Input!$B$36)+SUMPRODUCT((Complementare!$A$5:$A$54&lt;Input!$B$36)*(Input!$B$10*(1+D5)^Complementare!$A$5:$A$54*0.0691*Input!$B$21+((Input!$B$44+(Input!$B$26+Input!$B$10*(1+D5)^Complementare!$A$5:$A$54*(Input!$B$47+Input!$B$27))-ABS(Input!$B$44-(Input!$B$26+Input!$B$10*(1+D5)^Complementare!$A$5:$A$54*(Input!$B$47+Input!$B$27))))/2))*(1+D7)^(Complementare!$A$5:$A$54-Input!$B$36)))*Input!$B$38</f>
        <v>231500.617354895</v>
      </c>
    </row>
    <row r="15" customFormat="false" ht="15" hidden="false" customHeight="true" outlineLevel="0" collapsed="false">
      <c r="A15" s="5" t="s">
        <v>162</v>
      </c>
      <c r="B15" s="26" t="n">
        <f aca="false">B14*0.055</f>
        <v>8808.2746975062</v>
      </c>
      <c r="C15" s="26" t="n">
        <f aca="false">C14*0.055</f>
        <v>10586.0502948668</v>
      </c>
      <c r="D15" s="26" t="n">
        <f aca="false">D14*0.055</f>
        <v>12732.5339545192</v>
      </c>
    </row>
    <row r="16" customFormat="false" ht="15" hidden="false" customHeight="true" outlineLevel="0" collapsed="false">
      <c r="A16" s="5" t="s">
        <v>163</v>
      </c>
      <c r="B16" s="26" t="n">
        <f aca="false">IF(Input!$B$21=0,B31-B32*B33,0)</f>
        <v>0</v>
      </c>
      <c r="C16" s="26" t="n">
        <f aca="false">IF(Input!$B$21=0,C31-C32*C33,0)</f>
        <v>0</v>
      </c>
      <c r="D16" s="26" t="n">
        <f aca="false">IF(Input!$B$21=0,D31-D32*D33,0)</f>
        <v>0</v>
      </c>
    </row>
    <row r="17" customFormat="false" ht="15" hidden="false" customHeight="true" outlineLevel="0" collapsed="false">
      <c r="A17" s="21" t="s">
        <v>164</v>
      </c>
      <c r="B17" s="25" t="n">
        <f aca="false">B12+B15</f>
        <v>28977.1928905719</v>
      </c>
      <c r="C17" s="25" t="n">
        <f aca="false">C12+C15</f>
        <v>34106.6140610565</v>
      </c>
      <c r="D17" s="25" t="n">
        <f aca="false">D12+D15</f>
        <v>39841.124426748</v>
      </c>
    </row>
    <row r="18" customFormat="false" ht="15" hidden="false" customHeight="true" outlineLevel="0" collapsed="false">
      <c r="A18" s="5" t="s">
        <v>165</v>
      </c>
      <c r="B18" s="25" t="n">
        <f aca="false">Input!$B$39</f>
        <v>23400</v>
      </c>
      <c r="C18" s="25" t="n">
        <f aca="false">Input!$B$39</f>
        <v>23400</v>
      </c>
      <c r="D18" s="25" t="n">
        <f aca="false">Input!$B$39</f>
        <v>23400</v>
      </c>
    </row>
    <row r="19" customFormat="false" ht="15" hidden="false" customHeight="true" outlineLevel="0" collapsed="false">
      <c r="A19" s="21" t="s">
        <v>166</v>
      </c>
      <c r="B19" s="33" t="n">
        <f aca="false">B18-B17</f>
        <v>-5577.1928905719</v>
      </c>
      <c r="C19" s="33" t="n">
        <f aca="false">C18-C17</f>
        <v>-10706.6140610565</v>
      </c>
      <c r="D19" s="33" t="n">
        <f aca="false">D18-D17</f>
        <v>-16441.124426748</v>
      </c>
    </row>
    <row r="20" customFormat="false" ht="15" hidden="false" customHeight="true" outlineLevel="0" collapsed="false">
      <c r="A20" s="5" t="s">
        <v>167</v>
      </c>
      <c r="B20" s="34" t="n">
        <f aca="false">IFERROR(B19/B18, 0)</f>
        <v>-0.238341576520167</v>
      </c>
      <c r="C20" s="34" t="n">
        <f aca="false">IFERROR(C19/C18, 0)</f>
        <v>-0.457547609446861</v>
      </c>
      <c r="D20" s="34" t="n">
        <f aca="false">IFERROR(D19/D18, 0)</f>
        <v>-0.702612154989229</v>
      </c>
    </row>
    <row r="21" customFormat="false" ht="15" hidden="false" customHeight="true" outlineLevel="0" collapsed="false">
      <c r="A21" s="5" t="s">
        <v>168</v>
      </c>
      <c r="B21" s="33" t="n">
        <f aca="false">B19*(1+B7)^Input!$B$36</f>
        <v>-9601.53575919563</v>
      </c>
      <c r="C21" s="33" t="n">
        <f aca="false">C19*(1+C7)^Input!$B$36</f>
        <v>-16552.2076812366</v>
      </c>
      <c r="D21" s="33" t="n">
        <f aca="false">D19*(1+D7)^Input!$B$36</f>
        <v>-22813.1074273204</v>
      </c>
    </row>
    <row r="22" customFormat="false" ht="15" hidden="false" customHeight="true" outlineLevel="0" collapsed="false">
      <c r="A22" s="21" t="s">
        <v>169</v>
      </c>
    </row>
    <row r="23" customFormat="false" ht="15" hidden="false" customHeight="true" outlineLevel="0" collapsed="false">
      <c r="A23" s="22" t="s">
        <v>170</v>
      </c>
      <c r="B23" s="22"/>
      <c r="C23" s="22"/>
      <c r="D23" s="22"/>
    </row>
    <row r="24" customFormat="false" ht="15" hidden="false" customHeight="true" outlineLevel="0" collapsed="false">
      <c r="A24" s="22" t="s">
        <v>171</v>
      </c>
      <c r="B24" s="22"/>
      <c r="C24" s="22"/>
      <c r="D24" s="22"/>
    </row>
    <row r="25" customFormat="false" ht="15" hidden="false" customHeight="true" outlineLevel="0" collapsed="false">
      <c r="A25" s="22" t="s">
        <v>172</v>
      </c>
      <c r="B25" s="22"/>
      <c r="C25" s="22"/>
      <c r="D25" s="22"/>
    </row>
    <row r="26" customFormat="false" ht="15" hidden="false" customHeight="true" outlineLevel="0" collapsed="false">
      <c r="A26" s="22" t="s">
        <v>173</v>
      </c>
      <c r="B26" s="22"/>
      <c r="C26" s="22"/>
      <c r="D26" s="22"/>
    </row>
    <row r="27" customFormat="false" ht="15" hidden="false" customHeight="true" outlineLevel="0" collapsed="false">
      <c r="A27" s="22" t="s">
        <v>174</v>
      </c>
      <c r="B27" s="22"/>
      <c r="C27" s="22"/>
      <c r="D27" s="22"/>
    </row>
    <row r="28" customFormat="false" ht="15" hidden="false" customHeight="true" outlineLevel="0" collapsed="false">
      <c r="A28" s="22" t="s">
        <v>175</v>
      </c>
      <c r="B28" s="22"/>
      <c r="C28" s="22"/>
      <c r="D28" s="22"/>
    </row>
    <row r="30" customFormat="false" ht="15" hidden="false" customHeight="true" outlineLevel="0" collapsed="false">
      <c r="A30" s="21" t="s">
        <v>176</v>
      </c>
    </row>
    <row r="31" customFormat="false" ht="15" hidden="false" customHeight="true" outlineLevel="0" collapsed="false">
      <c r="A31" s="5" t="s">
        <v>177</v>
      </c>
      <c r="B31" s="26" t="n">
        <f aca="false">Input!$B$22*(1+((1+(0.015+0.75*B7)*(1-0.17))/(1+B7)-1))^Input!$B$36+SUMPRODUCT((Complementare!$A$5:$A$54&lt;Input!$B$36)*Input!$B$10*(1+B5)^Complementare!$A$5:$A$54*0.0691*(1+((1+(0.015+0.75*B7)*(1-0.17))/(1+B7)-1))^(Input!$B$36-1-Complementare!$A$5:$A$54))</f>
        <v>82882.7461018162</v>
      </c>
      <c r="C31" s="26" t="n">
        <f aca="false">Input!$B$22*(1+((1+(0.015+0.75*C7)*(1-0.17))/(1+C7)-1))^Input!$B$36+SUMPRODUCT((Complementare!$A$5:$A$54&lt;Input!$B$36)*Input!$B$10*(1+C5)^Complementare!$A$5:$A$54*0.0691*(1+((1+(0.015+0.75*C7)*(1-0.17))/(1+C7)-1))^(Input!$B$36-1-Complementare!$A$5:$A$54))</f>
        <v>93174.6935220567</v>
      </c>
      <c r="D31" s="26" t="n">
        <f aca="false">Input!$B$22*(1+((1+(0.015+0.75*D7)*(1-0.17))/(1+D7)-1))^Input!$B$36+SUMPRODUCT((Complementare!$A$5:$A$54&lt;Input!$B$36)*Input!$B$10*(1+D5)^Complementare!$A$5:$A$54*0.0691*(1+((1+(0.015+0.75*D7)*(1-0.17))/(1+D7)-1))^(Input!$B$36-1-Complementare!$A$5:$A$54))</f>
        <v>104970.310567601</v>
      </c>
    </row>
    <row r="32" customFormat="false" ht="15" hidden="false" customHeight="true" outlineLevel="0" collapsed="false">
      <c r="A32" s="5" t="s">
        <v>178</v>
      </c>
      <c r="B32" s="26" t="n">
        <f aca="false">Input!$B$22*(1+B7)^(-Input!$B$36)+SUMPRODUCT((Complementare!$A$5:$A$54&lt;Input!$B$36)*Input!$B$10*(1+B5)^Complementare!$A$5:$A$54*0.0691*(1+B7)^(Complementare!$A$5:$A$54-Input!$B$36))</f>
        <v>59880.6676864256</v>
      </c>
      <c r="C32" s="26" t="n">
        <f aca="false">Input!$B$22*(1+C7)^(-Input!$B$36)+SUMPRODUCT((Complementare!$A$5:$A$54&lt;Input!$B$36)*Input!$B$10*(1+C5)^Complementare!$A$5:$A$54*0.0691*(1+C7)^(Complementare!$A$5:$A$54-Input!$B$36))</f>
        <v>70423.5321133614</v>
      </c>
      <c r="D32" s="26" t="n">
        <f aca="false">Input!$B$22*(1+D7)^(-Input!$B$36)+SUMPRODUCT((Complementare!$A$5:$A$54&lt;Input!$B$36)*Input!$B$10*(1+D5)^Complementare!$A$5:$A$54*0.0691*(1+D7)^(Complementare!$A$5:$A$54-Input!$B$36))</f>
        <v>82849.0443918138</v>
      </c>
    </row>
    <row r="33" customFormat="false" ht="15" hidden="false" customHeight="true" outlineLevel="0" collapsed="false">
      <c r="A33" s="5" t="s">
        <v>140</v>
      </c>
      <c r="B33" s="34" t="n">
        <f aca="false">IF((B32*12/(Input!$B$48+Input!$B$36))&lt;=0,0,IF((B32*12/(Input!$B$48+Input!$B$36))&lt;=28000,(B32*12/(Input!$B$48+Input!$B$36))*0.23,IF((B32*12/(Input!$B$48+Input!$B$36))&lt;=50000,6440+((B32*12/(Input!$B$48+Input!$B$36))-28000)*0.33,13700+((B32*12/(Input!$B$48+Input!$B$36))-50000)*0.43))/(B32*12/(Input!$B$48+Input!$B$36)))</f>
        <v>0.232584029892912</v>
      </c>
      <c r="C33" s="34" t="n">
        <f aca="false">IF((C32*12/(Input!$B$48+Input!$B$36))&lt;=0,0,IF((C32*12/(Input!$B$48+Input!$B$36))&lt;=28000,(C32*12/(Input!$B$48+Input!$B$36))*0.23,IF((C32*12/(Input!$B$48+Input!$B$36))&lt;=50000,6440+((C32*12/(Input!$B$48+Input!$B$36))-28000)*0.33,13700+((C32*12/(Input!$B$48+Input!$B$36))-50000)*0.43))/(C32*12/(Input!$B$48+Input!$B$36)))</f>
        <v>0.247167839239541</v>
      </c>
      <c r="D33" s="34" t="n">
        <f aca="false">IF((D32*12/(Input!$B$48+Input!$B$36))&lt;=0,0,IF((D32*12/(Input!$B$48+Input!$B$36))&lt;=28000,(D32*12/(Input!$B$48+Input!$B$36))*0.23,IF((D32*12/(Input!$B$48+Input!$B$36))&lt;=50000,6440+((D32*12/(Input!$B$48+Input!$B$36))-28000)*0.33,13700+((D32*12/(Input!$B$48+Input!$B$36))-50000)*0.43))/(D32*12/(Input!$B$48+Input!$B$36)))</f>
        <v>0.259590819349152</v>
      </c>
    </row>
    <row r="34" customFormat="false" ht="15" hidden="false" customHeight="false" outlineLevel="0" collapsed="false">
      <c r="A34" s="5" t="s">
        <v>179</v>
      </c>
      <c r="B34" s="26" t="n">
        <f aca="false">B16*0.055</f>
        <v>0</v>
      </c>
      <c r="C34" s="26" t="n">
        <f aca="false">C16*0.055</f>
        <v>0</v>
      </c>
      <c r="D34" s="26" t="n">
        <f aca="false">D16*0.055</f>
        <v>0</v>
      </c>
    </row>
  </sheetData>
  <mergeCells count="8">
    <mergeCell ref="A1:D1"/>
    <mergeCell ref="A2:D2"/>
    <mergeCell ref="A23:D23"/>
    <mergeCell ref="A24:D24"/>
    <mergeCell ref="A25:D25"/>
    <mergeCell ref="A26:D26"/>
    <mergeCell ref="A27:D27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2026-06-23T14:07:36Z</dcterms:created>
  <dc:creator>openpyxl</dc:creator>
  <dc:description/>
  <dc:language>en-US</dc:language>
  <cp:lastModifiedBy/>
  <dcterms:modified xsi:type="dcterms:W3CDTF">2026-06-25T18:18:34Z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