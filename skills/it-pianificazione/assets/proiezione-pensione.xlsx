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<sst xmlns="http://schemas.openxmlformats.org/spreadsheetml/2006/main" count="146" uniqueCount="136">
  <si>
    <t xml:space="preserve">Proiezione pensionistica — Parametri di input</t>
  </si>
  <si>
    <t xml:space="preserve">Modifica le celle in BLU per personalizzare. Le formule (nero) si aggiornano automaticamente.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</si>
  <si>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</si>
  <si>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</si>
  <si>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</si>
  <si>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</si>
  <si>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</si>
  <si>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</si>
  <si>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</si>
  <si>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</si>
  <si>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</si>
  <si>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</si>
  <si>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</si>
  <si>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</si>
  <si>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</si>
  <si>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</si>
  <si>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</si>
  <si>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</si>
  <si>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</si>
  <si>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</si>
  <si>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</si>
  <si>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annua (montante INPS)</t>
  </si>
  <si>
    <t xml:space="preserve">media storica ~1,8%</t>
  </si>
  <si>
    <t xml:space="preserve">Inflazione attesa</t>
  </si>
  <si>
    <t xml:space="preserve">target BCE 2%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</si>
  <si>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</si>
  <si>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</si>
  <si>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</si>
  <si>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</si>
  <si>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</si>
  <si>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</si>
  <si>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</si>
  <si>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</si>
  <si>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</si>
  <si>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</si>
  <si>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</si>
  <si>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 (max €5.300 deducibili)</t>
  </si>
  <si>
    <t xml:space="preserve">Contributo datore (% RAL)</t>
  </si>
  <si>
    <t xml:space="preserve">es. 1,5% per CCNL metalmeccanici</t>
  </si>
  <si>
    <t xml:space="preserve">Rendimento netto comparto</t>
  </si>
  <si>
    <t xml:space="preserve">es. bilanciato ~3,5% netto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</si>
  <si>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</si>
  <si>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</si>
  <si>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</si>
  <si>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</si>
  <si>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</si>
  <si>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</si>
  <si>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</si>
  <si>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</si>
  <si>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</si>
  <si>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</si>
  <si>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</si>
  <si>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</si>
  <si>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</si>
  <si>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</si>
  <si>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</si>
  <si>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</si>
  <si>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</si>
  <si>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</si>
  <si>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</si>
  <si>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</si>
  <si>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</si>
  <si>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</si>
  <si>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</si>
  <si>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</si>
  <si>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</si>
  <si>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</si>
  <si>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</si>
  <si>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</si>
  <si>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</si>
  <si>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</si>
  <si>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</si>
  <si>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</si>
  <si>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</si>
  <si>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</si>
  <si>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</si>
  <si>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</si>
  <si>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</si>
  <si>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</si>
  <si>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</si>
  <si>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</si>
  <si>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</si>
  <si>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</si>
  <si>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</si>
  <si>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</si>
  <si>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</si>
  <si>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</si>
  <si>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(stima)</t>
  </si>
  <si>
    <t xml:space="preserve">Addizionali regionali + comunali (~2%)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</si>
  <si>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</si>
  <si>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</si>
  <si>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</si>
  <si>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</si>
  <si>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</si>
  <si>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montante del fondo pensione (TFR + volontari + datore + rendimenti).</t>
  </si>
  <si>
    <t xml:space="preserve">TFR (6,91%)</t>
  </si>
  <si>
    <t xml:space="preserve">Contrib. volontario</t>
  </si>
  <si>
    <t xml:space="preserve">Contrib. datore</t>
  </si>
  <si>
    <t xml:space="preserve">Rendimento</t>
  </si>
  <si>
    <t xml:space="preserve">Montante fondo finale (lordo)</t>
  </si>
  <si>
    <t xml:space="preserve">Aliquota fondo finale (da Input)</t>
  </si>
  <si>
    <t xml:space="preserve">Tassazione finale (montante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</si>
  <si>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</si>
  <si>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</si>
  <si>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</si>
  <si>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dalle deduzioni</t>
  </si>
  <si>
    <t xml:space="preserve">NOTE:</t>
  </si>
  <si>
    <t xml:space="preserve">1. Contributo volontario costante in termini reali (in nominale cresce con inflazione).</t>
  </si>
  <si>
    <t xml:space="preserve">2. Rendimento netto comparto è al netto della tassa annua 20% (12,5% titoli Stato).</t>
  </si>
  <si>
    <t xml:space="preserve">3. Aliquota fondo finale: 15% → 9% (riduzione 0,30% per ogni anno partecipazione oltre il 15°).</t>
  </si>
  <si>
    <t xml:space="preserve">4. Tasso conversione rendita 5,5%: vitalizia a 67 anni senza reversibilità.</t>
  </si>
  <si>
    <t xml:space="preserve">5. Risparmio IRPEF in valore nominale (non scontato). Vale 0 se il contributo volontario è 0.</t>
  </si>
  <si>
    <t xml:space="preserve">Confronto scenari: conservativo / base / ottimistico</t>
  </si>
  <si>
    <t xml:space="preserve">Base è il calcolo degli altri fogli (coefficiente già proiettato). Conservativo/Ottimistico applicano correttivi indicativi per ulteriore incertezza.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</si>
  <si>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</si>
  <si>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</si>
  <si>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</si>
  <si>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</si>
  <si>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</si>
  <si>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annua</t>
  </si>
  <si>
    <t xml:space="preserve">Pensione INPS lorda annua</t>
  </si>
  <si>
    <t xml:space="preserve">Pensione INPS netta annua</t>
  </si>
  <si>
    <t xml:space="preserve">Montante fondo finale</t>
  </si>
  <si>
    <t xml:space="preserve">Prestazione fondo netta</t>
  </si>
  <si>
    <t xml:space="preserve">Rendita fondo annua (stima)</t>
  </si>
  <si>
    <t xml:space="preserve">Reddito pensione totale netto annuo</t>
  </si>
  <si>
    <t xml:space="preserve">Spesa target annua (nominale @ pensione)</t>
  </si>
  <si>
    <t xml:space="preserve">GAP (spesa target - reddito pensione)</t>
  </si>
  <si>
    <t xml:space="preserve">Gap % della spesa target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</si>
  <si>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</si>
  <si>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</si>
  <si>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</si>
  <si>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Il coefficiente di trasformazione è già proiettato in calo nello scenario Base; conservativo e</t>
  </si>
  <si>
    <t xml:space="preserve">  ottimistico variano anche il ritmo di decadimento (2,2% vs 1,5% per biennio).</t>
  </si>
  <si>
    <t xml:space="preserve">• Correttivi fondo: -15%/+18% per incertezza su rendimenti di lungo periodo.</t>
  </si>
  <si>
    <t xml:space="preserve">• Spesa target in valori nominali al pensionamento (inflazione applicata).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</si>
</sst>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0.018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0.035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</sheetData>
  <mergeCells count="9">
    <mergeCell ref="A1:C1"/>
    <mergeCell ref="A2:C2"/>
    <mergeCell ref="A4:C4"/>
    <mergeCell ref="A9:C9"/>
    <mergeCell ref="A15:C15"/>
    <mergeCell ref="A20:C20"/>
    <mergeCell ref="A24:C24"/>
    <mergeCell ref="A31:C31"/>
    <mergeCell ref="A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59</v>
      </c>
      <c r="B1" s="2"/>
      <c r="C1" s="2"/>
    </row>
    <row r="2" customFormat="false" ht="15" hidden="false" customHeight="true" outlineLevel="0" collapsed="false">
      <c r="A2" s="3" t="s">
        <v>60</v>
      </c>
      <c r="B2" s="3"/>
      <c r="C2" s="3"/>
    </row>
    <row r="4" customFormat="false" ht="15" hidden="false" customHeight="true" outlineLevel="0" collapsed="false">
      <c r="A4" s="17" t="s">
        <v>61</v>
      </c>
      <c r="B4" s="17" t="s">
        <v>62</v>
      </c>
      <c r="C4" s="17" t="s">
        <v>63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64</v>
      </c>
    </row>
    <row r="23" customFormat="false" ht="15" hidden="false" customHeight="true" outlineLevel="0" collapsed="false">
      <c r="A23" s="22" t="s">
        <v>65</v>
      </c>
      <c r="B23" s="22"/>
      <c r="C23" s="22"/>
      <c r="D23" s="22"/>
    </row>
    <row r="24" customFormat="false" ht="15" hidden="false" customHeight="true" outlineLevel="0" collapsed="false">
      <c r="A24" s="22" t="s">
        <v>66</v>
      </c>
      <c r="B24" s="22"/>
      <c r="C24" s="22"/>
      <c r="D24" s="22"/>
    </row>
    <row r="25" customFormat="false" ht="15" hidden="false" customHeight="true" outlineLevel="0" collapsed="false">
      <c r="A25" s="22" t="s">
        <v>67</v>
      </c>
      <c r="B25" s="22"/>
      <c r="C25" s="22"/>
      <c r="D25" s="22"/>
    </row>
    <row r="26" customFormat="false" ht="15" hidden="false" customHeight="true" outlineLevel="0" collapsed="false">
      <c r="A26" s="22" t="s">
        <v>68</v>
      </c>
      <c r="B26" s="22"/>
      <c r="C26" s="22"/>
      <c r="D26" s="22"/>
    </row>
    <row r="27" customFormat="false" ht="15" hidden="false" customHeight="true" outlineLevel="0" collapsed="false">
      <c r="A27" s="22" t="s">
        <v>69</v>
      </c>
      <c r="B27" s="22"/>
      <c r="C27" s="22"/>
      <c r="D27" s="22"/>
    </row>
    <row r="28" customFormat="false" ht="15" hidden="false" customHeight="true" outlineLevel="0" collapsed="false">
      <c r="A28" s="22" t="s">
        <v>70</v>
      </c>
      <c r="B28" s="22"/>
      <c r="C28" s="22"/>
      <c r="D28" s="22"/>
    </row>
    <row r="29" customFormat="false" ht="15" hidden="false" customHeight="true" outlineLevel="0" collapsed="false">
      <c r="A29" s="22" t="s">
        <v>71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73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74</v>
      </c>
      <c r="B4" s="17" t="s">
        <v>61</v>
      </c>
      <c r="C4" s="17" t="s">
        <v>75</v>
      </c>
      <c r="D4" s="17" t="s">
        <v>76</v>
      </c>
      <c r="E4" s="17" t="s">
        <v>77</v>
      </c>
      <c r="F4" s="17" t="s">
        <v>78</v>
      </c>
      <c r="G4" s="17" t="s">
        <v>79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C5*Input!$B$13</f>
        <v>14850</v>
      </c>
      <c r="E5" s="26" t="n">
        <f aca="false">IF(Input!$B$14&gt;0,Input!$B$14,Input!$B$10*Input!$B$13*(IF(ABS(((1+Input!$B$16)/(1+Input!$B$12))-1)&lt;0.0000001,Input!$B$11,((1+Input!$B$16)/(1+Input!$B$12))*(((1+Input!$B$16)/(1+Input!$B$12))^Input!$B$11-1)/(((1+Input!$B$16)/(1+Input!$B$12))-1))))</f>
        <v>274932.674790466</v>
      </c>
      <c r="F5" s="25" t="n">
        <f aca="false">(E5+D5)*Input!$B$16</f>
        <v>5216.08814622839</v>
      </c>
      <c r="G5" s="25" t="n">
        <f aca="false">IF(B5&lt;Input!$B$6, E5+D5+F5, E5)</f>
        <v>294998.762936695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C6*Input!$B$13</f>
        <v>15072.75</v>
      </c>
      <c r="E6" s="25" t="n">
        <f aca="false">G5</f>
        <v>294998.762936695</v>
      </c>
      <c r="F6" s="25" t="n">
        <f aca="false">(E6+D6)*Input!$B$16</f>
        <v>5581.2872328605</v>
      </c>
      <c r="G6" s="25" t="n">
        <f aca="false">IF(B6&lt;Input!$B$6, E6+D6+F6, E6)</f>
        <v>315652.800169555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C7*Input!$B$13</f>
        <v>15298.84125</v>
      </c>
      <c r="E7" s="25" t="n">
        <f aca="false">G6</f>
        <v>315652.800169555</v>
      </c>
      <c r="F7" s="25" t="n">
        <f aca="false">(E7+D7)*Input!$B$16</f>
        <v>5957.12954555199</v>
      </c>
      <c r="G7" s="25" t="n">
        <f aca="false">IF(B7&lt;Input!$B$6, E7+D7+F7, E7)</f>
        <v>336908.770965107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C8*Input!$B$13</f>
        <v>15528.32386875</v>
      </c>
      <c r="E8" s="25" t="n">
        <f aca="false">G7</f>
        <v>336908.770965107</v>
      </c>
      <c r="F8" s="25" t="n">
        <f aca="false">(E8+D8)*Input!$B$16</f>
        <v>6343.86770700943</v>
      </c>
      <c r="G8" s="25" t="n">
        <f aca="false">IF(B8&lt;Input!$B$6, E8+D8+F8, E8)</f>
        <v>358780.962540867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C9*Input!$B$13</f>
        <v>15761.2487267812</v>
      </c>
      <c r="E9" s="25" t="n">
        <f aca="false">G8</f>
        <v>358780.962540867</v>
      </c>
      <c r="F9" s="25" t="n">
        <f aca="false">(E9+D9)*Input!$B$16</f>
        <v>6741.75980281766</v>
      </c>
      <c r="G9" s="25" t="n">
        <f aca="false">IF(B9&lt;Input!$B$6, E9+D9+F9, E9)</f>
        <v>381283.971070465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C10*Input!$B$13</f>
        <v>15997.667457683</v>
      </c>
      <c r="E10" s="25" t="n">
        <f aca="false">G9</f>
        <v>381283.971070465</v>
      </c>
      <c r="F10" s="25" t="n">
        <f aca="false">(E10+D10)*Input!$B$16</f>
        <v>7151.06949350667</v>
      </c>
      <c r="G10" s="25" t="n">
        <f aca="false">IF(B10&lt;Input!$B$6, E10+D10+F10, E10)</f>
        <v>404432.708021655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C11*Input!$B$13</f>
        <v>16237.6324695482</v>
      </c>
      <c r="E11" s="25" t="n">
        <f aca="false">G10</f>
        <v>404432.708021655</v>
      </c>
      <c r="F11" s="25" t="n">
        <f aca="false">(E11+D11)*Input!$B$16</f>
        <v>7572.06612884166</v>
      </c>
      <c r="G11" s="25" t="n">
        <f aca="false">IF(B11&lt;Input!$B$6, E11+D11+F11, E11)</f>
        <v>428242.406620045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C12*Input!$B$13</f>
        <v>16481.1969565914</v>
      </c>
      <c r="E12" s="25" t="n">
        <f aca="false">G11</f>
        <v>428242.406620045</v>
      </c>
      <c r="F12" s="25" t="n">
        <f aca="false">(E12+D12)*Input!$B$16</f>
        <v>8005.02486437945</v>
      </c>
      <c r="G12" s="25" t="n">
        <f aca="false">IF(B12&lt;Input!$B$6, E12+D12+F12, E12)</f>
        <v>452728.628441016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C13*Input!$B$13</f>
        <v>16728.4149109403</v>
      </c>
      <c r="E13" s="25" t="n">
        <f aca="false">G12</f>
        <v>452728.628441016</v>
      </c>
      <c r="F13" s="25" t="n">
        <f aca="false">(E13+D13)*Input!$B$16</f>
        <v>8450.22678033521</v>
      </c>
      <c r="G13" s="25" t="n">
        <f aca="false">IF(B13&lt;Input!$B$6, E13+D13+F13, E13)</f>
        <v>477907.270132291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C14*Input!$B$13</f>
        <v>16979.3411346044</v>
      </c>
      <c r="E14" s="25" t="n">
        <f aca="false">G13</f>
        <v>477907.270132291</v>
      </c>
      <c r="F14" s="25" t="n">
        <f aca="false">(E14+D14)*Input!$B$16</f>
        <v>8907.95900280412</v>
      </c>
      <c r="G14" s="25" t="n">
        <f aca="false">IF(B14&lt;Input!$B$6, E14+D14+F14, E14)</f>
        <v>503794.5702697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C15*Input!$B$13</f>
        <v>17234.0312516235</v>
      </c>
      <c r="E15" s="25" t="n">
        <f aca="false">G14</f>
        <v>503794.5702697</v>
      </c>
      <c r="F15" s="25" t="n">
        <f aca="false">(E15+D15)*Input!$B$16</f>
        <v>9378.51482738382</v>
      </c>
      <c r="G15" s="25" t="n">
        <f aca="false">IF(B15&lt;Input!$B$6, E15+D15+F15, E15)</f>
        <v>530407.116348707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C16*Input!$B$13</f>
        <v>17492.5417203978</v>
      </c>
      <c r="E16" s="25" t="n">
        <f aca="false">G15</f>
        <v>530407.116348707</v>
      </c>
      <c r="F16" s="25" t="n">
        <f aca="false">(E16+D16)*Input!$B$16</f>
        <v>9862.19384524389</v>
      </c>
      <c r="G16" s="25" t="n">
        <f aca="false">IF(B16&lt;Input!$B$6, E16+D16+F16, E16)</f>
        <v>557761.851914349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C17*Input!$B$13</f>
        <v>17754.9298462038</v>
      </c>
      <c r="E17" s="25" t="n">
        <f aca="false">G16</f>
        <v>557761.851914349</v>
      </c>
      <c r="F17" s="25" t="n">
        <f aca="false">(E17+D17)*Input!$B$16</f>
        <v>10359.3020716899</v>
      </c>
      <c r="G17" s="25" t="n">
        <f aca="false">IF(B17&lt;Input!$B$6, E17+D17+F17, E17)</f>
        <v>585876.083832243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C18*Input!$B$13</f>
        <v>18021.2537938968</v>
      </c>
      <c r="E18" s="25" t="n">
        <f aca="false">G17</f>
        <v>585876.083832243</v>
      </c>
      <c r="F18" s="25" t="n">
        <f aca="false">(E18+D18)*Input!$B$16</f>
        <v>10870.1520772705</v>
      </c>
      <c r="G18" s="25" t="n">
        <f aca="false">IF(B18&lt;Input!$B$6, E18+D18+F18, E18)</f>
        <v>614767.48970341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C19*Input!$B$13</f>
        <v>18291.5726008053</v>
      </c>
      <c r="E19" s="25" t="n">
        <f aca="false">G18</f>
        <v>614767.48970341</v>
      </c>
      <c r="F19" s="25" t="n">
        <f aca="false">(E19+D19)*Input!$B$16</f>
        <v>11395.0631214759</v>
      </c>
      <c r="G19" s="25" t="n">
        <f aca="false">IF(B19&lt;Input!$B$6, E19+D19+F19, E19)</f>
        <v>644454.125425691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C20*Input!$B$13</f>
        <v>18565.9461898174</v>
      </c>
      <c r="E20" s="25" t="n">
        <f aca="false">G19</f>
        <v>644454.125425691</v>
      </c>
      <c r="F20" s="25" t="n">
        <f aca="false">(E20+D20)*Input!$B$16</f>
        <v>11934.3612890792</v>
      </c>
      <c r="G20" s="25" t="n">
        <f aca="false">IF(B20&lt;Input!$B$6, E20+D20+F20, E20)</f>
        <v>674954.432904588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C21*Input!$B$13</f>
        <v>18844.4353826646</v>
      </c>
      <c r="E21" s="25" t="n">
        <f aca="false">G20</f>
        <v>674954.432904588</v>
      </c>
      <c r="F21" s="25" t="n">
        <f aca="false">(E21+D21)*Input!$B$16</f>
        <v>12488.3796291705</v>
      </c>
      <c r="G21" s="25" t="n">
        <f aca="false">IF(B21&lt;Input!$B$6, E21+D21+F21, E21)</f>
        <v>706287.247916423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C22*Input!$B$13</f>
        <v>19127.1019134046</v>
      </c>
      <c r="E22" s="25" t="n">
        <f aca="false">G21</f>
        <v>706287.247916423</v>
      </c>
      <c r="F22" s="25" t="n">
        <f aca="false">(E22+D22)*Input!$B$16</f>
        <v>13057.4582969369</v>
      </c>
      <c r="G22" s="25" t="n">
        <f aca="false">IF(B22&lt;Input!$B$6, E22+D22+F22, E22)</f>
        <v>738471.808126764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C23*Input!$B$13</f>
        <v>19414.0084421057</v>
      </c>
      <c r="E23" s="25" t="n">
        <f aca="false">G22</f>
        <v>738471.808126764</v>
      </c>
      <c r="F23" s="25" t="n">
        <f aca="false">(E23+D23)*Input!$B$16</f>
        <v>13641.9446982397</v>
      </c>
      <c r="G23" s="25" t="n">
        <f aca="false">IF(B23&lt;Input!$B$6, E23+D23+F23, E23)</f>
        <v>771527.76126711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C24*Input!$B$13</f>
        <v>19705.2185687372</v>
      </c>
      <c r="E24" s="25" t="n">
        <f aca="false">G23</f>
        <v>771527.76126711</v>
      </c>
      <c r="F24" s="25" t="n">
        <f aca="false">(E24+D24)*Input!$B$16</f>
        <v>14242.1936370452</v>
      </c>
      <c r="G24" s="25" t="n">
        <f aca="false">IF(B24&lt;Input!$B$6, E24+D24+F24, E24)</f>
        <v>805475.173472892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C25*Input!$B$13</f>
        <v>20000.7968472683</v>
      </c>
      <c r="E25" s="25" t="n">
        <f aca="false">G24</f>
        <v>805475.173472892</v>
      </c>
      <c r="F25" s="25" t="n">
        <f aca="false">(E25+D25)*Input!$B$16</f>
        <v>14858.5674657629</v>
      </c>
      <c r="G25" s="25" t="n">
        <f aca="false">IF(B25&lt;Input!$B$6, E25+D25+F25, E25)</f>
        <v>840334.537785923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C26*Input!$B$13</f>
        <v>20300.8087999773</v>
      </c>
      <c r="E26" s="25" t="n">
        <f aca="false">G25</f>
        <v>840334.537785923</v>
      </c>
      <c r="F26" s="25" t="n">
        <f aca="false">(E26+D26)*Input!$B$16</f>
        <v>15491.4362385462</v>
      </c>
      <c r="G26" s="25" t="n">
        <f aca="false">IF(B26&lt;Input!$B$6, E26+D26+F26, E26)</f>
        <v>876126.782824447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C27*Input!$B$13</f>
        <v>0</v>
      </c>
      <c r="E27" s="25" t="n">
        <f aca="false">G26</f>
        <v>876126.782824447</v>
      </c>
      <c r="F27" s="25" t="n">
        <f aca="false">(E27+D27)*Input!$B$16</f>
        <v>15770.28209084</v>
      </c>
      <c r="G27" s="25" t="n">
        <f aca="false">IF(B27&lt;Input!$B$6, E27+D27+F27, E27)</f>
        <v>876126.782824447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C28*Input!$B$13</f>
        <v>0</v>
      </c>
      <c r="E28" s="25" t="n">
        <f aca="false">G27</f>
        <v>876126.782824447</v>
      </c>
      <c r="F28" s="25" t="n">
        <f aca="false">(E28+D28)*Input!$B$16</f>
        <v>15770.28209084</v>
      </c>
      <c r="G28" s="25" t="n">
        <f aca="false">IF(B28&lt;Input!$B$6, E28+D28+F28, E28)</f>
        <v>876126.782824447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C29*Input!$B$13</f>
        <v>0</v>
      </c>
      <c r="E29" s="25" t="n">
        <f aca="false">G28</f>
        <v>876126.782824447</v>
      </c>
      <c r="F29" s="25" t="n">
        <f aca="false">(E29+D29)*Input!$B$16</f>
        <v>15770.28209084</v>
      </c>
      <c r="G29" s="25" t="n">
        <f aca="false">IF(B29&lt;Input!$B$6, E29+D29+F29, E29)</f>
        <v>876126.782824447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C30*Input!$B$13</f>
        <v>0</v>
      </c>
      <c r="E30" s="25" t="n">
        <f aca="false">G29</f>
        <v>876126.782824447</v>
      </c>
      <c r="F30" s="25" t="n">
        <f aca="false">(E30+D30)*Input!$B$16</f>
        <v>15770.28209084</v>
      </c>
      <c r="G30" s="25" t="n">
        <f aca="false">IF(B30&lt;Input!$B$6, E30+D30+F30, E30)</f>
        <v>876126.782824447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C31*Input!$B$13</f>
        <v>0</v>
      </c>
      <c r="E31" s="25" t="n">
        <f aca="false">G30</f>
        <v>876126.782824447</v>
      </c>
      <c r="F31" s="25" t="n">
        <f aca="false">(E31+D31)*Input!$B$16</f>
        <v>15770.28209084</v>
      </c>
      <c r="G31" s="25" t="n">
        <f aca="false">IF(B31&lt;Input!$B$6, E31+D31+F31, E31)</f>
        <v>876126.782824447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C32*Input!$B$13</f>
        <v>0</v>
      </c>
      <c r="E32" s="25" t="n">
        <f aca="false">G31</f>
        <v>876126.782824447</v>
      </c>
      <c r="F32" s="25" t="n">
        <f aca="false">(E32+D32)*Input!$B$16</f>
        <v>15770.28209084</v>
      </c>
      <c r="G32" s="25" t="n">
        <f aca="false">IF(B32&lt;Input!$B$6, E32+D32+F32, E32)</f>
        <v>876126.782824447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C33*Input!$B$13</f>
        <v>0</v>
      </c>
      <c r="E33" s="25" t="n">
        <f aca="false">G32</f>
        <v>876126.782824447</v>
      </c>
      <c r="F33" s="25" t="n">
        <f aca="false">(E33+D33)*Input!$B$16</f>
        <v>15770.28209084</v>
      </c>
      <c r="G33" s="25" t="n">
        <f aca="false">IF(B33&lt;Input!$B$6, E33+D33+F33, E33)</f>
        <v>876126.782824447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C34*Input!$B$13</f>
        <v>0</v>
      </c>
      <c r="E34" s="25" t="n">
        <f aca="false">G33</f>
        <v>876126.782824447</v>
      </c>
      <c r="F34" s="25" t="n">
        <f aca="false">(E34+D34)*Input!$B$16</f>
        <v>15770.28209084</v>
      </c>
      <c r="G34" s="25" t="n">
        <f aca="false">IF(B34&lt;Input!$B$6, E34+D34+F34, E34)</f>
        <v>876126.782824447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C35*Input!$B$13</f>
        <v>0</v>
      </c>
      <c r="E35" s="25" t="n">
        <f aca="false">G34</f>
        <v>876126.782824447</v>
      </c>
      <c r="F35" s="25" t="n">
        <f aca="false">(E35+D35)*Input!$B$16</f>
        <v>15770.28209084</v>
      </c>
      <c r="G35" s="25" t="n">
        <f aca="false">IF(B35&lt;Input!$B$6, E35+D35+F35, E35)</f>
        <v>876126.782824447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C36*Input!$B$13</f>
        <v>0</v>
      </c>
      <c r="E36" s="25" t="n">
        <f aca="false">G35</f>
        <v>876126.782824447</v>
      </c>
      <c r="F36" s="25" t="n">
        <f aca="false">(E36+D36)*Input!$B$16</f>
        <v>15770.28209084</v>
      </c>
      <c r="G36" s="25" t="n">
        <f aca="false">IF(B36&lt;Input!$B$6, E36+D36+F36, E36)</f>
        <v>876126.782824447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C37*Input!$B$13</f>
        <v>0</v>
      </c>
      <c r="E37" s="25" t="n">
        <f aca="false">G36</f>
        <v>876126.782824447</v>
      </c>
      <c r="F37" s="25" t="n">
        <f aca="false">(E37+D37)*Input!$B$16</f>
        <v>15770.28209084</v>
      </c>
      <c r="G37" s="25" t="n">
        <f aca="false">IF(B37&lt;Input!$B$6, E37+D37+F37, E37)</f>
        <v>876126.782824447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C38*Input!$B$13</f>
        <v>0</v>
      </c>
      <c r="E38" s="25" t="n">
        <f aca="false">G37</f>
        <v>876126.782824447</v>
      </c>
      <c r="F38" s="25" t="n">
        <f aca="false">(E38+D38)*Input!$B$16</f>
        <v>15770.28209084</v>
      </c>
      <c r="G38" s="25" t="n">
        <f aca="false">IF(B38&lt;Input!$B$6, E38+D38+F38, E38)</f>
        <v>876126.782824447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C39*Input!$B$13</f>
        <v>0</v>
      </c>
      <c r="E39" s="25" t="n">
        <f aca="false">G38</f>
        <v>876126.782824447</v>
      </c>
      <c r="F39" s="25" t="n">
        <f aca="false">(E39+D39)*Input!$B$16</f>
        <v>15770.28209084</v>
      </c>
      <c r="G39" s="25" t="n">
        <f aca="false">IF(B39&lt;Input!$B$6, E39+D39+F39, E39)</f>
        <v>876126.782824447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C40*Input!$B$13</f>
        <v>0</v>
      </c>
      <c r="E40" s="25" t="n">
        <f aca="false">G39</f>
        <v>876126.782824447</v>
      </c>
      <c r="F40" s="25" t="n">
        <f aca="false">(E40+D40)*Input!$B$16</f>
        <v>15770.28209084</v>
      </c>
      <c r="G40" s="25" t="n">
        <f aca="false">IF(B40&lt;Input!$B$6, E40+D40+F40, E40)</f>
        <v>876126.782824447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C41*Input!$B$13</f>
        <v>0</v>
      </c>
      <c r="E41" s="25" t="n">
        <f aca="false">G40</f>
        <v>876126.782824447</v>
      </c>
      <c r="F41" s="25" t="n">
        <f aca="false">(E41+D41)*Input!$B$16</f>
        <v>15770.28209084</v>
      </c>
      <c r="G41" s="25" t="n">
        <f aca="false">IF(B41&lt;Input!$B$6, E41+D41+F41, E41)</f>
        <v>876126.782824447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C42*Input!$B$13</f>
        <v>0</v>
      </c>
      <c r="E42" s="25" t="n">
        <f aca="false">G41</f>
        <v>876126.782824447</v>
      </c>
      <c r="F42" s="25" t="n">
        <f aca="false">(E42+D42)*Input!$B$16</f>
        <v>15770.28209084</v>
      </c>
      <c r="G42" s="25" t="n">
        <f aca="false">IF(B42&lt;Input!$B$6, E42+D42+F42, E42)</f>
        <v>876126.782824447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C43*Input!$B$13</f>
        <v>0</v>
      </c>
      <c r="E43" s="25" t="n">
        <f aca="false">G42</f>
        <v>876126.782824447</v>
      </c>
      <c r="F43" s="25" t="n">
        <f aca="false">(E43+D43)*Input!$B$16</f>
        <v>15770.28209084</v>
      </c>
      <c r="G43" s="25" t="n">
        <f aca="false">IF(B43&lt;Input!$B$6, E43+D43+F43, E43)</f>
        <v>876126.782824447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C44*Input!$B$13</f>
        <v>0</v>
      </c>
      <c r="E44" s="25" t="n">
        <f aca="false">G43</f>
        <v>876126.782824447</v>
      </c>
      <c r="F44" s="25" t="n">
        <f aca="false">(E44+D44)*Input!$B$16</f>
        <v>15770.28209084</v>
      </c>
      <c r="G44" s="25" t="n">
        <f aca="false">IF(B44&lt;Input!$B$6, E44+D44+F44, E44)</f>
        <v>876126.782824447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C45*Input!$B$13</f>
        <v>0</v>
      </c>
      <c r="E45" s="25" t="n">
        <f aca="false">G44</f>
        <v>876126.782824447</v>
      </c>
      <c r="F45" s="25" t="n">
        <f aca="false">(E45+D45)*Input!$B$16</f>
        <v>15770.28209084</v>
      </c>
      <c r="G45" s="25" t="n">
        <f aca="false">IF(B45&lt;Input!$B$6, E45+D45+F45, E45)</f>
        <v>876126.782824447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C46*Input!$B$13</f>
        <v>0</v>
      </c>
      <c r="E46" s="25" t="n">
        <f aca="false">G45</f>
        <v>876126.782824447</v>
      </c>
      <c r="F46" s="25" t="n">
        <f aca="false">(E46+D46)*Input!$B$16</f>
        <v>15770.28209084</v>
      </c>
      <c r="G46" s="25" t="n">
        <f aca="false">IF(B46&lt;Input!$B$6, E46+D46+F46, E46)</f>
        <v>876126.782824447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C47*Input!$B$13</f>
        <v>0</v>
      </c>
      <c r="E47" s="25" t="n">
        <f aca="false">G46</f>
        <v>876126.782824447</v>
      </c>
      <c r="F47" s="25" t="n">
        <f aca="false">(E47+D47)*Input!$B$16</f>
        <v>15770.28209084</v>
      </c>
      <c r="G47" s="25" t="n">
        <f aca="false">IF(B47&lt;Input!$B$6, E47+D47+F47, E47)</f>
        <v>876126.782824447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C48*Input!$B$13</f>
        <v>0</v>
      </c>
      <c r="E48" s="25" t="n">
        <f aca="false">G47</f>
        <v>876126.782824447</v>
      </c>
      <c r="F48" s="25" t="n">
        <f aca="false">(E48+D48)*Input!$B$16</f>
        <v>15770.28209084</v>
      </c>
      <c r="G48" s="25" t="n">
        <f aca="false">IF(B48&lt;Input!$B$6, E48+D48+F48, E48)</f>
        <v>876126.782824447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C49*Input!$B$13</f>
        <v>0</v>
      </c>
      <c r="E49" s="25" t="n">
        <f aca="false">G48</f>
        <v>876126.782824447</v>
      </c>
      <c r="F49" s="25" t="n">
        <f aca="false">(E49+D49)*Input!$B$16</f>
        <v>15770.28209084</v>
      </c>
      <c r="G49" s="25" t="n">
        <f aca="false">IF(B49&lt;Input!$B$6, E49+D49+F49, E49)</f>
        <v>876126.782824447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C50*Input!$B$13</f>
        <v>0</v>
      </c>
      <c r="E50" s="25" t="n">
        <f aca="false">G49</f>
        <v>876126.782824447</v>
      </c>
      <c r="F50" s="25" t="n">
        <f aca="false">(E50+D50)*Input!$B$16</f>
        <v>15770.28209084</v>
      </c>
      <c r="G50" s="25" t="n">
        <f aca="false">IF(B50&lt;Input!$B$6, E50+D50+F50, E50)</f>
        <v>876126.782824447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C51*Input!$B$13</f>
        <v>0</v>
      </c>
      <c r="E51" s="25" t="n">
        <f aca="false">G50</f>
        <v>876126.782824447</v>
      </c>
      <c r="F51" s="25" t="n">
        <f aca="false">(E51+D51)*Input!$B$16</f>
        <v>15770.28209084</v>
      </c>
      <c r="G51" s="25" t="n">
        <f aca="false">IF(B51&lt;Input!$B$6, E51+D51+F51, E51)</f>
        <v>876126.782824447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C52*Input!$B$13</f>
        <v>0</v>
      </c>
      <c r="E52" s="25" t="n">
        <f aca="false">G51</f>
        <v>876126.782824447</v>
      </c>
      <c r="F52" s="25" t="n">
        <f aca="false">(E52+D52)*Input!$B$16</f>
        <v>15770.28209084</v>
      </c>
      <c r="G52" s="25" t="n">
        <f aca="false">IF(B52&lt;Input!$B$6, E52+D52+F52, E52)</f>
        <v>876126.782824447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C53*Input!$B$13</f>
        <v>0</v>
      </c>
      <c r="E53" s="25" t="n">
        <f aca="false">G52</f>
        <v>876126.782824447</v>
      </c>
      <c r="F53" s="25" t="n">
        <f aca="false">(E53+D53)*Input!$B$16</f>
        <v>15770.28209084</v>
      </c>
      <c r="G53" s="25" t="n">
        <f aca="false">IF(B53&lt;Input!$B$6, E53+D53+F53, E53)</f>
        <v>876126.782824447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C54*Input!$B$13</f>
        <v>0</v>
      </c>
      <c r="E54" s="25" t="n">
        <f aca="false">G53</f>
        <v>876126.782824447</v>
      </c>
      <c r="F54" s="25" t="n">
        <f aca="false">(E54+D54)*Input!$B$16</f>
        <v>15770.28209084</v>
      </c>
      <c r="G54" s="25" t="n">
        <f aca="false">IF(B54&lt;Input!$B$6, E54+D54+F54, E54)</f>
        <v>876126.782824447</v>
      </c>
    </row>
    <row r="57" customFormat="false" ht="15" hidden="false" customHeight="true" outlineLevel="0" collapsed="false">
      <c r="A57" s="4" t="s">
        <v>80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81</v>
      </c>
      <c r="B58" s="15" t="n">
        <f aca="false">INDEX(G5:G54, MATCH(Input!$B$6-1, B5:B54, 0))</f>
        <v>876126.782824447</v>
      </c>
    </row>
    <row r="59" customFormat="false" ht="15" hidden="false" customHeight="true" outlineLevel="0" collapsed="false">
      <c r="A59" s="5" t="s">
        <v>82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83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84</v>
      </c>
      <c r="B61" s="29" t="n">
        <f aca="false">B58*B60</f>
        <v>40234.7518698099</v>
      </c>
    </row>
    <row r="62" customFormat="false" ht="15" hidden="false" customHeight="true" outlineLevel="0" collapsed="false">
      <c r="A62" s="5" t="s">
        <v>85</v>
      </c>
      <c r="B62" s="15" t="n">
        <f aca="false">B61/13</f>
        <v>3094.9809130623</v>
      </c>
    </row>
    <row r="63" customFormat="false" ht="15" hidden="false" customHeight="true" outlineLevel="0" collapsed="false">
      <c r="A63" s="5" t="s">
        <v>86</v>
      </c>
      <c r="B63" s="15" t="n">
        <f aca="false">IF(B61&lt;=28000, B61*0.23, IF(B61&lt;=50000, 28000*0.23 + (B61-28000)*0.33, 28000*0.23 + 22000*0.33 + (B61-50000)*0.43))</f>
        <v>10477.4681170373</v>
      </c>
    </row>
    <row r="64" customFormat="false" ht="15" hidden="false" customHeight="true" outlineLevel="0" collapsed="false">
      <c r="A64" s="5" t="s">
        <v>87</v>
      </c>
      <c r="B64" s="15" t="n">
        <f aca="false">IF(B61&lt;=8500, 1955, IF(B61&lt;=28000, 1955 - (1955-1880)*(B61-8500)/(28000-8500), 1880))</f>
        <v>1880</v>
      </c>
    </row>
    <row r="65" customFormat="false" ht="15" hidden="false" customHeight="true" outlineLevel="0" collapsed="false">
      <c r="A65" s="5" t="s">
        <v>88</v>
      </c>
      <c r="B65" s="15" t="n">
        <f aca="false">B61*0.02</f>
        <v>804.695037396197</v>
      </c>
    </row>
    <row r="66" customFormat="false" ht="15" hidden="false" customHeight="true" outlineLevel="0" collapsed="false">
      <c r="A66" s="21" t="s">
        <v>89</v>
      </c>
      <c r="B66" s="29" t="n">
        <f aca="false">B61-MAX(0,B63-B64)-B65</f>
        <v>30832.5887153764</v>
      </c>
    </row>
    <row r="67" customFormat="false" ht="15" hidden="false" customHeight="true" outlineLevel="0" collapsed="false">
      <c r="A67" s="21" t="s">
        <v>90</v>
      </c>
      <c r="B67" s="29" t="n">
        <f aca="false">B66/13</f>
        <v>2371.73759349049</v>
      </c>
    </row>
    <row r="68" customFormat="false" ht="15" hidden="false" customHeight="true" outlineLevel="0" collapsed="false">
      <c r="A68" s="5" t="s">
        <v>91</v>
      </c>
      <c r="B68" s="11" t="n">
        <f aca="false">IFERROR(B61/INDEX(C5:C54, MATCH(Input!$B$6-1, B5:B54, 0)), 0)</f>
        <v>0.654036410463217</v>
      </c>
    </row>
    <row r="70" customFormat="false" ht="15" hidden="false" customHeight="true" outlineLevel="0" collapsed="false">
      <c r="A70" s="3" t="s">
        <v>92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</cols>
  <sheetData>
    <row r="1" customFormat="false" ht="17.25" hidden="false" customHeight="true" outlineLevel="0" collapsed="false">
      <c r="A1" s="2" t="s">
        <v>93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94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74</v>
      </c>
      <c r="B4" s="17" t="s">
        <v>61</v>
      </c>
      <c r="C4" s="17" t="s">
        <v>75</v>
      </c>
      <c r="D4" s="17" t="s">
        <v>95</v>
      </c>
      <c r="E4" s="17" t="s">
        <v>96</v>
      </c>
      <c r="F4" s="17" t="s">
        <v>97</v>
      </c>
      <c r="G4" s="17" t="s">
        <v>98</v>
      </c>
      <c r="H4" s="17" t="s">
        <v>79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 MIN(Input!$B$26, 5300), 0)</f>
        <v>2000</v>
      </c>
      <c r="F5" s="25" t="n">
        <f aca="false">C5*Input!$B$27</f>
        <v>675</v>
      </c>
      <c r="G5" s="25" t="n">
        <f aca="false">(Input!$B$22+Input!$B$25)*Input!$B$28</f>
        <v>455</v>
      </c>
      <c r="H5" s="25" t="n">
        <f aca="false">Input!$B$22+Input!$B$25+D5+E5+F5+G5</f>
        <v>19239.5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 MIN(Input!$B$26, 5300), 0)</f>
        <v>2000</v>
      </c>
      <c r="F6" s="25" t="n">
        <f aca="false">C6*Input!$B$27</f>
        <v>685.125</v>
      </c>
      <c r="G6" s="25" t="n">
        <f aca="false">H5*Input!$B$28</f>
        <v>673.3825</v>
      </c>
      <c r="H6" s="25" t="n">
        <f aca="false">H5+D6+E6+F6+G6</f>
        <v>25754.15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 MIN(Input!$B$26, 5300), 0)</f>
        <v>2000</v>
      </c>
      <c r="F7" s="25" t="n">
        <f aca="false">C7*Input!$B$27</f>
        <v>695.401875</v>
      </c>
      <c r="G7" s="25" t="n">
        <f aca="false">H6*Input!$B$28</f>
        <v>901.39525</v>
      </c>
      <c r="H7" s="25" t="n">
        <f aca="false">H6+D7+E7+F7+G7</f>
        <v>32554.4317625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 MIN(Input!$B$26, 5300), 0)</f>
        <v>2000</v>
      </c>
      <c r="F8" s="25" t="n">
        <f aca="false">C8*Input!$B$27</f>
        <v>705.832903125</v>
      </c>
      <c r="G8" s="25" t="n">
        <f aca="false">H7*Input!$B$28</f>
        <v>1139.4051116875</v>
      </c>
      <c r="H8" s="25" t="n">
        <f aca="false">H7+D8+E8+F8+G8</f>
        <v>39651.206684375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 MIN(Input!$B$26, 5300), 0)</f>
        <v>2000</v>
      </c>
      <c r="F9" s="25" t="n">
        <f aca="false">C9*Input!$B$27</f>
        <v>716.420396671875</v>
      </c>
      <c r="G9" s="25" t="n">
        <f aca="false">H8*Input!$B$28</f>
        <v>1387.79223395313</v>
      </c>
      <c r="H9" s="25" t="n">
        <f aca="false">H8+D9+E9+F9+G9</f>
        <v>47055.7292756684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 MIN(Input!$B$26, 5300), 0)</f>
        <v>2000</v>
      </c>
      <c r="F10" s="25" t="n">
        <f aca="false">C10*Input!$B$27</f>
        <v>727.166702621953</v>
      </c>
      <c r="G10" s="25" t="n">
        <f aca="false">H9*Input!$B$28</f>
        <v>1646.9505246484</v>
      </c>
      <c r="H10" s="25" t="n">
        <f aca="false">H9+D10+E10+F10+G10</f>
        <v>54779.6611130172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 MIN(Input!$B$26, 5300), 0)</f>
        <v>2000</v>
      </c>
      <c r="F11" s="25" t="n">
        <f aca="false">C11*Input!$B$27</f>
        <v>738.074203161282</v>
      </c>
      <c r="G11" s="25" t="n">
        <f aca="false">H10*Input!$B$28</f>
        <v>1917.2881389556</v>
      </c>
      <c r="H11" s="25" t="n">
        <f aca="false">H10+D11+E11+F11+G11</f>
        <v>62835.0852843638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 MIN(Input!$B$26, 5300), 0)</f>
        <v>2000</v>
      </c>
      <c r="F12" s="25" t="n">
        <f aca="false">C12*Input!$B$27</f>
        <v>749.145316208701</v>
      </c>
      <c r="G12" s="25" t="n">
        <f aca="false">H11*Input!$B$28</f>
        <v>2199.22798495273</v>
      </c>
      <c r="H12" s="25" t="n">
        <f aca="false">H11+D12+E12+F12+G12</f>
        <v>71234.5213421933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 MIN(Input!$B$26, 5300), 0)</f>
        <v>2000</v>
      </c>
      <c r="F13" s="25" t="n">
        <f aca="false">C13*Input!$B$27</f>
        <v>760.382495951832</v>
      </c>
      <c r="G13" s="25" t="n">
        <f aca="false">H12*Input!$B$28</f>
        <v>2493.20824697676</v>
      </c>
      <c r="H13" s="25" t="n">
        <f aca="false">H12+D13+E13+F13+G13</f>
        <v>79990.94078314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 MIN(Input!$B$26, 5300), 0)</f>
        <v>2000</v>
      </c>
      <c r="F14" s="25" t="n">
        <f aca="false">C14*Input!$B$27</f>
        <v>771.788233391109</v>
      </c>
      <c r="G14" s="25" t="n">
        <f aca="false">H13*Input!$B$28</f>
        <v>2799.6829274099</v>
      </c>
      <c r="H14" s="25" t="n">
        <f aca="false">H13+D14+E14+F14+G14</f>
        <v>89117.7830724294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 MIN(Input!$B$26, 5300), 0)</f>
        <v>2000</v>
      </c>
      <c r="F15" s="25" t="n">
        <f aca="false">C15*Input!$B$27</f>
        <v>783.365056891976</v>
      </c>
      <c r="G15" s="25" t="n">
        <f aca="false">H14*Input!$B$28</f>
        <v>3119.12240753503</v>
      </c>
      <c r="H15" s="25" t="n">
        <f aca="false">H14+D15+E15+F15+G15</f>
        <v>98628.9722322721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 MIN(Input!$B$26, 5300), 0)</f>
        <v>2000</v>
      </c>
      <c r="F16" s="25" t="n">
        <f aca="false">C16*Input!$B$27</f>
        <v>795.115532745355</v>
      </c>
      <c r="G16" s="25" t="n">
        <f aca="false">H15*Input!$B$28</f>
        <v>3452.01402812952</v>
      </c>
      <c r="H16" s="25" t="n">
        <f aca="false">H15+D16+E16+F16+G16</f>
        <v>108538.934013994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 MIN(Input!$B$26, 5300), 0)</f>
        <v>2000</v>
      </c>
      <c r="F17" s="25" t="n">
        <f aca="false">C17*Input!$B$27</f>
        <v>807.042265736536</v>
      </c>
      <c r="G17" s="25" t="n">
        <f aca="false">H16*Input!$B$28</f>
        <v>3798.86269048979</v>
      </c>
      <c r="H17" s="25" t="n">
        <f aca="false">H16+D17+E17+F17+G17</f>
        <v>118862.61367438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 MIN(Input!$B$26, 5300), 0)</f>
        <v>2000</v>
      </c>
      <c r="F18" s="25" t="n">
        <f aca="false">C18*Input!$B$27</f>
        <v>819.147899722583</v>
      </c>
      <c r="G18" s="25" t="n">
        <f aca="false">H17*Input!$B$28</f>
        <v>4160.1914786033</v>
      </c>
      <c r="H18" s="25" t="n">
        <f aca="false">H17+D18+E18+F18+G18</f>
        <v>129615.494377428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 MIN(Input!$B$26, 5300), 0)</f>
        <v>2000</v>
      </c>
      <c r="F19" s="25" t="n">
        <f aca="false">C19*Input!$B$27</f>
        <v>831.435118218422</v>
      </c>
      <c r="G19" s="25" t="n">
        <f aca="false">H18*Input!$B$28</f>
        <v>4536.54230320997</v>
      </c>
      <c r="H19" s="25" t="n">
        <f aca="false">H18+D19+E19+F19+G19</f>
        <v>140813.616243449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 MIN(Input!$B$26, 5300), 0)</f>
        <v>2000</v>
      </c>
      <c r="F20" s="25" t="n">
        <f aca="false">C20*Input!$B$27</f>
        <v>843.906644991698</v>
      </c>
      <c r="G20" s="25" t="n">
        <f aca="false">H19*Input!$B$28</f>
        <v>4928.47656852072</v>
      </c>
      <c r="H20" s="25" t="n">
        <f aca="false">H19+D20+E20+F20+G20</f>
        <v>152473.596068223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 MIN(Input!$B$26, 5300), 0)</f>
        <v>2000</v>
      </c>
      <c r="F21" s="25" t="n">
        <f aca="false">C21*Input!$B$27</f>
        <v>856.565244666574</v>
      </c>
      <c r="G21" s="25" t="n">
        <f aca="false">H20*Input!$B$28</f>
        <v>5336.57586238781</v>
      </c>
      <c r="H21" s="25" t="n">
        <f aca="false">H20+D21+E21+F21+G21</f>
        <v>164612.647735708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 MIN(Input!$B$26, 5300), 0)</f>
        <v>2000</v>
      </c>
      <c r="F22" s="25" t="n">
        <f aca="false">C22*Input!$B$27</f>
        <v>869.413723336572</v>
      </c>
      <c r="G22" s="25" t="n">
        <f aca="false">H21*Input!$B$28</f>
        <v>5761.44267074979</v>
      </c>
      <c r="H22" s="25" t="n">
        <f aca="false">H21+D22+E22+F22+G22</f>
        <v>177248.603348632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 MIN(Input!$B$26, 5300), 0)</f>
        <v>2000</v>
      </c>
      <c r="F23" s="25" t="n">
        <f aca="false">C23*Input!$B$27</f>
        <v>882.454929186621</v>
      </c>
      <c r="G23" s="25" t="n">
        <f aca="false">H22*Input!$B$28</f>
        <v>6203.70111720211</v>
      </c>
      <c r="H23" s="25" t="n">
        <f aca="false">H22+D23+E23+F23+G23</f>
        <v>190399.93510214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 MIN(Input!$B$26, 5300), 0)</f>
        <v>2000</v>
      </c>
      <c r="F24" s="25" t="n">
        <f aca="false">C24*Input!$B$27</f>
        <v>895.69175312442</v>
      </c>
      <c r="G24" s="25" t="n">
        <f aca="false">H23*Input!$B$28</f>
        <v>6663.9977285749</v>
      </c>
      <c r="H24" s="25" t="n">
        <f aca="false">H23+D24+E24+F24+G24</f>
        <v>204085.777926566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 MIN(Input!$B$26, 5300), 0)</f>
        <v>2000</v>
      </c>
      <c r="F25" s="25" t="n">
        <f aca="false">C25*Input!$B$27</f>
        <v>909.127129421286</v>
      </c>
      <c r="G25" s="25" t="n">
        <f aca="false">H24*Input!$B$28</f>
        <v>7143.00222742981</v>
      </c>
      <c r="H25" s="25" t="n">
        <f aca="false">H24+D25+E25+F25+G25</f>
        <v>218325.952926284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 MIN(Input!$B$26, 5300), 0)</f>
        <v>2000</v>
      </c>
      <c r="F26" s="25" t="n">
        <f aca="false">C26*Input!$B$27</f>
        <v>922.764036362605</v>
      </c>
      <c r="G26" s="25" t="n">
        <f aca="false">H25*Input!$B$28</f>
        <v>7641.40835241995</v>
      </c>
      <c r="H26" s="25" t="n">
        <f aca="false">H25+D26+E26+F26+G26</f>
        <v>233140.991642577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 MIN(Input!$B$26, 5300), 0)</f>
        <v>0</v>
      </c>
      <c r="F27" s="25" t="n">
        <f aca="false">C27*Input!$B$27</f>
        <v>0</v>
      </c>
      <c r="G27" s="25" t="n">
        <f aca="false">H26*Input!$B$28</f>
        <v>8159.93470749021</v>
      </c>
      <c r="H27" s="25" t="n">
        <f aca="false">H26+D27+E27+F27+G27</f>
        <v>241300.926350068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 MIN(Input!$B$26, 5300), 0)</f>
        <v>0</v>
      </c>
      <c r="F28" s="25" t="n">
        <f aca="false">C28*Input!$B$27</f>
        <v>0</v>
      </c>
      <c r="G28" s="25" t="n">
        <f aca="false">H27*Input!$B$28</f>
        <v>8445.53242225237</v>
      </c>
      <c r="H28" s="25" t="n">
        <f aca="false">H27+D28+E28+F28+G28</f>
        <v>249746.45877232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 MIN(Input!$B$26, 5300), 0)</f>
        <v>0</v>
      </c>
      <c r="F29" s="25" t="n">
        <f aca="false">C29*Input!$B$27</f>
        <v>0</v>
      </c>
      <c r="G29" s="25" t="n">
        <f aca="false">H28*Input!$B$28</f>
        <v>8741.1260570312</v>
      </c>
      <c r="H29" s="25" t="n">
        <f aca="false">H28+D29+E29+F29+G29</f>
        <v>258487.584829351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 MIN(Input!$B$26, 5300), 0)</f>
        <v>0</v>
      </c>
      <c r="F30" s="25" t="n">
        <f aca="false">C30*Input!$B$27</f>
        <v>0</v>
      </c>
      <c r="G30" s="25" t="n">
        <f aca="false">H29*Input!$B$28</f>
        <v>9047.06546902729</v>
      </c>
      <c r="H30" s="25" t="n">
        <f aca="false">H29+D30+E30+F30+G30</f>
        <v>267534.650298378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 MIN(Input!$B$26, 5300), 0)</f>
        <v>0</v>
      </c>
      <c r="F31" s="25" t="n">
        <f aca="false">C31*Input!$B$27</f>
        <v>0</v>
      </c>
      <c r="G31" s="25" t="n">
        <f aca="false">H30*Input!$B$28</f>
        <v>9363.71276044324</v>
      </c>
      <c r="H31" s="25" t="n">
        <f aca="false">H30+D31+E31+F31+G31</f>
        <v>276898.363058822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 MIN(Input!$B$26, 5300), 0)</f>
        <v>0</v>
      </c>
      <c r="F32" s="25" t="n">
        <f aca="false">C32*Input!$B$27</f>
        <v>0</v>
      </c>
      <c r="G32" s="25" t="n">
        <f aca="false">H31*Input!$B$28</f>
        <v>9691.44270705876</v>
      </c>
      <c r="H32" s="25" t="n">
        <f aca="false">H31+D32+E32+F32+G32</f>
        <v>286589.80576588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 MIN(Input!$B$26, 5300), 0)</f>
        <v>0</v>
      </c>
      <c r="F33" s="25" t="n">
        <f aca="false">C33*Input!$B$27</f>
        <v>0</v>
      </c>
      <c r="G33" s="25" t="n">
        <f aca="false">H32*Input!$B$28</f>
        <v>10030.6432018058</v>
      </c>
      <c r="H33" s="25" t="n">
        <f aca="false">H32+D33+E33+F33+G33</f>
        <v>296620.448967686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 MIN(Input!$B$26, 5300), 0)</f>
        <v>0</v>
      </c>
      <c r="F34" s="25" t="n">
        <f aca="false">C34*Input!$B$27</f>
        <v>0</v>
      </c>
      <c r="G34" s="25" t="n">
        <f aca="false">H33*Input!$B$28</f>
        <v>10381.715713869</v>
      </c>
      <c r="H34" s="25" t="n">
        <f aca="false">H33+D34+E34+F34+G34</f>
        <v>307002.164681555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 MIN(Input!$B$26, 5300), 0)</f>
        <v>0</v>
      </c>
      <c r="F35" s="25" t="n">
        <f aca="false">C35*Input!$B$27</f>
        <v>0</v>
      </c>
      <c r="G35" s="25" t="n">
        <f aca="false">H34*Input!$B$28</f>
        <v>10745.0757638544</v>
      </c>
      <c r="H35" s="25" t="n">
        <f aca="false">H34+D35+E35+F35+G35</f>
        <v>317747.24044541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 MIN(Input!$B$26, 5300), 0)</f>
        <v>0</v>
      </c>
      <c r="F36" s="25" t="n">
        <f aca="false">C36*Input!$B$27</f>
        <v>0</v>
      </c>
      <c r="G36" s="25" t="n">
        <f aca="false">H35*Input!$B$28</f>
        <v>11121.1534155893</v>
      </c>
      <c r="H36" s="25" t="n">
        <f aca="false">H35+D36+E36+F36+G36</f>
        <v>328868.393860999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 MIN(Input!$B$26, 5300), 0)</f>
        <v>0</v>
      </c>
      <c r="F37" s="25" t="n">
        <f aca="false">C37*Input!$B$27</f>
        <v>0</v>
      </c>
      <c r="G37" s="25" t="n">
        <f aca="false">H36*Input!$B$28</f>
        <v>11510.393785135</v>
      </c>
      <c r="H37" s="25" t="n">
        <f aca="false">H36+D37+E37+F37+G37</f>
        <v>340378.787646134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 MIN(Input!$B$26, 5300), 0)</f>
        <v>0</v>
      </c>
      <c r="F38" s="25" t="n">
        <f aca="false">C38*Input!$B$27</f>
        <v>0</v>
      </c>
      <c r="G38" s="25" t="n">
        <f aca="false">H37*Input!$B$28</f>
        <v>11913.2575676147</v>
      </c>
      <c r="H38" s="25" t="n">
        <f aca="false">H37+D38+E38+F38+G38</f>
        <v>352292.045213749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 MIN(Input!$B$26, 5300), 0)</f>
        <v>0</v>
      </c>
      <c r="F39" s="25" t="n">
        <f aca="false">C39*Input!$B$27</f>
        <v>0</v>
      </c>
      <c r="G39" s="25" t="n">
        <f aca="false">H38*Input!$B$28</f>
        <v>12330.2215824812</v>
      </c>
      <c r="H39" s="25" t="n">
        <f aca="false">H38+D39+E39+F39+G39</f>
        <v>364622.26679623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 MIN(Input!$B$26, 5300), 0)</f>
        <v>0</v>
      </c>
      <c r="F40" s="25" t="n">
        <f aca="false">C40*Input!$B$27</f>
        <v>0</v>
      </c>
      <c r="G40" s="25" t="n">
        <f aca="false">H39*Input!$B$28</f>
        <v>12761.779337868</v>
      </c>
      <c r="H40" s="25" t="n">
        <f aca="false">H39+D40+E40+F40+G40</f>
        <v>377384.046134098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 MIN(Input!$B$26, 5300), 0)</f>
        <v>0</v>
      </c>
      <c r="F41" s="25" t="n">
        <f aca="false">C41*Input!$B$27</f>
        <v>0</v>
      </c>
      <c r="G41" s="25" t="n">
        <f aca="false">H40*Input!$B$28</f>
        <v>13208.4416146934</v>
      </c>
      <c r="H41" s="25" t="n">
        <f aca="false">H40+D41+E41+F41+G41</f>
        <v>390592.487748791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 MIN(Input!$B$26, 5300), 0)</f>
        <v>0</v>
      </c>
      <c r="F42" s="25" t="n">
        <f aca="false">C42*Input!$B$27</f>
        <v>0</v>
      </c>
      <c r="G42" s="25" t="n">
        <f aca="false">H41*Input!$B$28</f>
        <v>13670.7370712077</v>
      </c>
      <c r="H42" s="25" t="n">
        <f aca="false">H41+D42+E42+F42+G42</f>
        <v>404263.224819999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 MIN(Input!$B$26, 5300), 0)</f>
        <v>0</v>
      </c>
      <c r="F43" s="25" t="n">
        <f aca="false">C43*Input!$B$27</f>
        <v>0</v>
      </c>
      <c r="G43" s="25" t="n">
        <f aca="false">H42*Input!$B$28</f>
        <v>14149.2128687</v>
      </c>
      <c r="H43" s="25" t="n">
        <f aca="false">H42+D43+E43+F43+G43</f>
        <v>418412.437688699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 MIN(Input!$B$26, 5300), 0)</f>
        <v>0</v>
      </c>
      <c r="F44" s="25" t="n">
        <f aca="false">C44*Input!$B$27</f>
        <v>0</v>
      </c>
      <c r="G44" s="25" t="n">
        <f aca="false">H43*Input!$B$28</f>
        <v>14644.4353191045</v>
      </c>
      <c r="H44" s="25" t="n">
        <f aca="false">H43+D44+E44+F44+G44</f>
        <v>433056.873007803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 MIN(Input!$B$26, 5300), 0)</f>
        <v>0</v>
      </c>
      <c r="F45" s="25" t="n">
        <f aca="false">C45*Input!$B$27</f>
        <v>0</v>
      </c>
      <c r="G45" s="25" t="n">
        <f aca="false">H44*Input!$B$28</f>
        <v>15156.9905552731</v>
      </c>
      <c r="H45" s="25" t="n">
        <f aca="false">H44+D45+E45+F45+G45</f>
        <v>448213.863563077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 MIN(Input!$B$26, 5300), 0)</f>
        <v>0</v>
      </c>
      <c r="F46" s="25" t="n">
        <f aca="false">C46*Input!$B$27</f>
        <v>0</v>
      </c>
      <c r="G46" s="25" t="n">
        <f aca="false">H45*Input!$B$28</f>
        <v>15687.4852247077</v>
      </c>
      <c r="H46" s="25" t="n">
        <f aca="false">H45+D46+E46+F46+G46</f>
        <v>463901.348787784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 MIN(Input!$B$26, 5300), 0)</f>
        <v>0</v>
      </c>
      <c r="F47" s="25" t="n">
        <f aca="false">C47*Input!$B$27</f>
        <v>0</v>
      </c>
      <c r="G47" s="25" t="n">
        <f aca="false">H46*Input!$B$28</f>
        <v>16236.5472075724</v>
      </c>
      <c r="H47" s="25" t="n">
        <f aca="false">H46+D47+E47+F47+G47</f>
        <v>480137.895995357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 MIN(Input!$B$26, 5300), 0)</f>
        <v>0</v>
      </c>
      <c r="F48" s="25" t="n">
        <f aca="false">C48*Input!$B$27</f>
        <v>0</v>
      </c>
      <c r="G48" s="25" t="n">
        <f aca="false">H47*Input!$B$28</f>
        <v>16804.8263598375</v>
      </c>
      <c r="H48" s="25" t="n">
        <f aca="false">H47+D48+E48+F48+G48</f>
        <v>496942.722355194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 MIN(Input!$B$26, 5300), 0)</f>
        <v>0</v>
      </c>
      <c r="F49" s="25" t="n">
        <f aca="false">C49*Input!$B$27</f>
        <v>0</v>
      </c>
      <c r="G49" s="25" t="n">
        <f aca="false">H48*Input!$B$28</f>
        <v>17392.9952824318</v>
      </c>
      <c r="H49" s="25" t="n">
        <f aca="false">H48+D49+E49+F49+G49</f>
        <v>514335.717637626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 MIN(Input!$B$26, 5300), 0)</f>
        <v>0</v>
      </c>
      <c r="F50" s="25" t="n">
        <f aca="false">C50*Input!$B$27</f>
        <v>0</v>
      </c>
      <c r="G50" s="25" t="n">
        <f aca="false">H49*Input!$B$28</f>
        <v>18001.7501173169</v>
      </c>
      <c r="H50" s="25" t="n">
        <f aca="false">H49+D50+E50+F50+G50</f>
        <v>532337.467754943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 MIN(Input!$B$26, 5300), 0)</f>
        <v>0</v>
      </c>
      <c r="F51" s="25" t="n">
        <f aca="false">C51*Input!$B$27</f>
        <v>0</v>
      </c>
      <c r="G51" s="25" t="n">
        <f aca="false">H50*Input!$B$28</f>
        <v>18631.811371423</v>
      </c>
      <c r="H51" s="25" t="n">
        <f aca="false">H50+D51+E51+F51+G51</f>
        <v>550969.279126366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 MIN(Input!$B$26, 5300), 0)</f>
        <v>0</v>
      </c>
      <c r="F52" s="25" t="n">
        <f aca="false">C52*Input!$B$27</f>
        <v>0</v>
      </c>
      <c r="G52" s="25" t="n">
        <f aca="false">H51*Input!$B$28</f>
        <v>19283.9247694228</v>
      </c>
      <c r="H52" s="25" t="n">
        <f aca="false">H51+D52+E52+F52+G52</f>
        <v>570253.203895789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 MIN(Input!$B$26, 5300), 0)</f>
        <v>0</v>
      </c>
      <c r="F53" s="25" t="n">
        <f aca="false">C53*Input!$B$27</f>
        <v>0</v>
      </c>
      <c r="G53" s="25" t="n">
        <f aca="false">H52*Input!$B$28</f>
        <v>19958.8621363526</v>
      </c>
      <c r="H53" s="25" t="n">
        <f aca="false">H52+D53+E53+F53+G53</f>
        <v>590212.066032141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 MIN(Input!$B$26, 5300), 0)</f>
        <v>0</v>
      </c>
      <c r="F54" s="25" t="n">
        <f aca="false">C54*Input!$B$27</f>
        <v>0</v>
      </c>
      <c r="G54" s="25" t="n">
        <f aca="false">H53*Input!$B$28</f>
        <v>20657.4223111249</v>
      </c>
      <c r="H54" s="25" t="n">
        <f aca="false">H53+D54+E54+F54+G54</f>
        <v>610869.488343266</v>
      </c>
    </row>
    <row r="57" customFormat="false" ht="15" hidden="false" customHeight="true" outlineLevel="0" collapsed="false">
      <c r="A57" s="4" t="s">
        <v>80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99</v>
      </c>
      <c r="B58" s="15" t="n">
        <f aca="false">INDEX(H5:H54, MATCH(Input!$B$6-1, B5:B54, 0))</f>
        <v>233140.991642577</v>
      </c>
    </row>
    <row r="59" customFormat="false" ht="15" hidden="false" customHeight="true" outlineLevel="0" collapsed="false">
      <c r="A59" s="5" t="s">
        <v>100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101</v>
      </c>
      <c r="B60" s="15" t="n">
        <f aca="false">B58*B59</f>
        <v>26578.0730472538</v>
      </c>
    </row>
    <row r="61" customFormat="false" ht="15" hidden="false" customHeight="true" outlineLevel="0" collapsed="false">
      <c r="A61" s="21" t="s">
        <v>102</v>
      </c>
      <c r="B61" s="29" t="n">
        <f aca="false">B58-B60</f>
        <v>206562.918595324</v>
      </c>
    </row>
    <row r="62" customFormat="false" ht="15" hidden="false" customHeight="true" outlineLevel="0" collapsed="false">
      <c r="A62" s="5" t="s">
        <v>103</v>
      </c>
      <c r="B62" s="15" t="n">
        <f aca="false">B61*0.055</f>
        <v>11360.9605227428</v>
      </c>
    </row>
    <row r="63" customFormat="false" ht="15" hidden="false" customHeight="true" outlineLevel="0" collapsed="false">
      <c r="A63" s="5" t="s">
        <v>104</v>
      </c>
      <c r="B63" s="15" t="n">
        <f aca="false">B62/13</f>
        <v>873.920040210984</v>
      </c>
    </row>
    <row r="64" customFormat="false" ht="15" hidden="false" customHeight="true" outlineLevel="0" collapsed="false">
      <c r="A64" s="5" t="s">
        <v>105</v>
      </c>
      <c r="B64" s="15" t="n">
        <f aca="false">SUM(E5:E54)*Input!$B$37</f>
        <v>14520</v>
      </c>
    </row>
    <row r="66" customFormat="false" ht="15" hidden="false" customHeight="true" outlineLevel="0" collapsed="false">
      <c r="A66" s="21" t="s">
        <v>106</v>
      </c>
    </row>
    <row r="67" customFormat="false" ht="15" hidden="false" customHeight="true" outlineLevel="0" collapsed="false">
      <c r="A67" s="22" t="s">
        <v>107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108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109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110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111</v>
      </c>
      <c r="B71" s="22"/>
      <c r="C71" s="22"/>
      <c r="D71" s="22"/>
      <c r="E71" s="22"/>
      <c r="F71" s="22"/>
      <c r="G71" s="22"/>
      <c r="H71" s="22"/>
    </row>
  </sheetData>
  <mergeCells count="8">
    <mergeCell ref="A1:H1"/>
    <mergeCell ref="A2:H2"/>
    <mergeCell ref="A57:H57"/>
    <mergeCell ref="A67:H67"/>
    <mergeCell ref="A68:H68"/>
    <mergeCell ref="A69:H69"/>
    <mergeCell ref="A70:H70"/>
    <mergeCell ref="A71:H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112</v>
      </c>
      <c r="B1" s="2"/>
      <c r="C1" s="2"/>
      <c r="D1" s="2"/>
    </row>
    <row r="2" customFormat="false" ht="15" hidden="false" customHeight="true" outlineLevel="0" collapsed="false">
      <c r="A2" s="3" t="s">
        <v>113</v>
      </c>
      <c r="B2" s="3"/>
      <c r="C2" s="3"/>
      <c r="D2" s="3"/>
    </row>
    <row r="4" customFormat="false" ht="15" hidden="false" customHeight="true" outlineLevel="0" collapsed="false">
      <c r="A4" s="17" t="s">
        <v>114</v>
      </c>
      <c r="B4" s="17" t="s">
        <v>115</v>
      </c>
      <c r="C4" s="17" t="s">
        <v>116</v>
      </c>
      <c r="D4" s="17" t="s">
        <v>117</v>
      </c>
    </row>
    <row r="5" customFormat="false" ht="15" hidden="false" customHeight="true" outlineLevel="0" collapsed="false">
      <c r="A5" s="5" t="s">
        <v>118</v>
      </c>
      <c r="B5" s="31" t="n">
        <v>0.005</v>
      </c>
      <c r="C5" s="32" t="n">
        <f aca="false">Input!$B$12</f>
        <v>0.015</v>
      </c>
      <c r="D5" s="31" t="n">
        <v>0.025</v>
      </c>
    </row>
    <row r="6" customFormat="false" ht="15" hidden="false" customHeight="true" outlineLevel="0" collapsed="false">
      <c r="A6" s="5" t="s">
        <v>119</v>
      </c>
      <c r="B6" s="31" t="n">
        <v>0.01</v>
      </c>
      <c r="C6" s="32" t="n">
        <f aca="false">Input!$B$16</f>
        <v>0.018</v>
      </c>
      <c r="D6" s="31" t="n">
        <v>0.025</v>
      </c>
    </row>
    <row r="7" customFormat="false" ht="15" hidden="false" customHeight="true" outlineLevel="0" collapsed="false">
      <c r="A7" s="5" t="s">
        <v>23</v>
      </c>
      <c r="B7" s="31" t="n">
        <v>0.025</v>
      </c>
      <c r="C7" s="32" t="n">
        <f aca="false">Input!$B$17</f>
        <v>0.02</v>
      </c>
      <c r="D7" s="31" t="n">
        <v>0.015</v>
      </c>
    </row>
    <row r="8" customFormat="false" ht="15" hidden="false" customHeight="true" outlineLevel="0" collapsed="false">
      <c r="A8" s="5" t="s">
        <v>25</v>
      </c>
      <c r="B8" s="31" t="n">
        <v>0.022</v>
      </c>
      <c r="C8" s="32" t="n">
        <f aca="false">Input!$B$18</f>
        <v>0.018</v>
      </c>
      <c r="D8" s="31" t="n"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0.025</v>
      </c>
      <c r="C9" s="32" t="n">
        <f aca="false">Input!$B$28</f>
        <v>0.035</v>
      </c>
      <c r="D9" s="32" t="n">
        <f aca="false">Input!$B$28+0.01</f>
        <v>0.045</v>
      </c>
    </row>
    <row r="11" customFormat="false" ht="15" hidden="false" customHeight="true" outlineLevel="0" collapsed="false">
      <c r="A11" s="5" t="s">
        <v>120</v>
      </c>
      <c r="B11" s="26" t="n">
        <f aca="false">Pubblica!B61*(1-B8)^(Input!$B$36/2)/(1-Input!$B$18)^(Input!$B$36/2)</f>
        <v>38468.244202918</v>
      </c>
      <c r="C11" s="26" t="n">
        <f aca="false">Pubblica!B61</f>
        <v>40234.7518698099</v>
      </c>
      <c r="D11" s="26" t="n">
        <f aca="false">Pubblica!B61*(1-D8)^(Input!$B$36/2)/(1-Input!$B$18)^(Input!$B$36/2)</f>
        <v>41607.6796645145</v>
      </c>
    </row>
    <row r="12" customFormat="false" ht="15" hidden="false" customHeight="true" outlineLevel="0" collapsed="false">
      <c r="A12" s="5" t="s">
        <v>121</v>
      </c>
      <c r="B12" s="26" t="n">
        <f aca="false">Pubblica!B66*B11/Pubblica!B61</f>
        <v>29478.883228834</v>
      </c>
      <c r="C12" s="26" t="n">
        <f aca="false">Pubblica!B66*C11/Pubblica!B61</f>
        <v>30832.5887153764</v>
      </c>
      <c r="D12" s="26" t="n">
        <f aca="false">Pubblica!B66*D11/Pubblica!B61</f>
        <v>31884.687114467</v>
      </c>
    </row>
    <row r="13" customFormat="false" ht="15" hidden="false" customHeight="true" outlineLevel="0" collapsed="false">
      <c r="A13" s="5" t="s">
        <v>122</v>
      </c>
      <c r="B13" s="26" t="n">
        <f aca="false">Complementare!B58*0.85</f>
        <v>198169.842896191</v>
      </c>
      <c r="C13" s="26" t="n">
        <f aca="false">Complementare!B58</f>
        <v>233140.991642577</v>
      </c>
      <c r="D13" s="26" t="n">
        <f aca="false">Complementare!B58*1.18</f>
        <v>275106.370138241</v>
      </c>
    </row>
    <row r="14" customFormat="false" ht="15" hidden="false" customHeight="true" outlineLevel="0" collapsed="false">
      <c r="A14" s="5" t="s">
        <v>123</v>
      </c>
      <c r="B14" s="26" t="n">
        <f aca="false">Complementare!B61*0.85</f>
        <v>175578.480806025</v>
      </c>
      <c r="C14" s="26" t="n">
        <f aca="false">Complementare!B61</f>
        <v>206562.918595324</v>
      </c>
      <c r="D14" s="26" t="n">
        <f aca="false">Complementare!B61*1.18</f>
        <v>243744.243942482</v>
      </c>
    </row>
    <row r="15" customFormat="false" ht="15" hidden="false" customHeight="true" outlineLevel="0" collapsed="false">
      <c r="A15" s="5" t="s">
        <v>124</v>
      </c>
      <c r="B15" s="26" t="n">
        <f aca="false">Complementare!B62*0.85</f>
        <v>9656.81644433137</v>
      </c>
      <c r="C15" s="26" t="n">
        <f aca="false">Complementare!B62</f>
        <v>11360.9605227428</v>
      </c>
      <c r="D15" s="26" t="n">
        <f aca="false">Complementare!B62*1.18</f>
        <v>13405.9334168365</v>
      </c>
    </row>
    <row r="17" customFormat="false" ht="15" hidden="false" customHeight="true" outlineLevel="0" collapsed="false">
      <c r="A17" s="21" t="s">
        <v>125</v>
      </c>
      <c r="B17" s="25" t="n">
        <f aca="false">B12+B15</f>
        <v>39135.6996731654</v>
      </c>
      <c r="C17" s="25" t="n">
        <f aca="false">C12+C15</f>
        <v>42193.5492381192</v>
      </c>
      <c r="D17" s="25" t="n">
        <f aca="false">D12+D15</f>
        <v>45290.6205313035</v>
      </c>
    </row>
    <row r="18" customFormat="false" ht="15" hidden="false" customHeight="true" outlineLevel="0" collapsed="false">
      <c r="A18" s="5" t="s">
        <v>126</v>
      </c>
      <c r="B18" s="25" t="n">
        <f aca="false">Input!$B$39*(1+B7)^Input!$B$36</f>
        <v>40284.7707033742</v>
      </c>
      <c r="C18" s="25" t="n">
        <f aca="false">Input!$B$39*(1+C7)^Input!$B$36</f>
        <v>36175.9242961556</v>
      </c>
      <c r="D18" s="25" t="n">
        <f aca="false">Input!$B$39*(1+D7)^Input!$B$36</f>
        <v>32468.9905594789</v>
      </c>
    </row>
    <row r="19" customFormat="false" ht="15" hidden="false" customHeight="true" outlineLevel="0" collapsed="false">
      <c r="A19" s="21" t="s">
        <v>127</v>
      </c>
      <c r="B19" s="33" t="n">
        <f aca="false">B18-B17</f>
        <v>1149.07103020886</v>
      </c>
      <c r="C19" s="33" t="n">
        <f aca="false">C18-C17</f>
        <v>-6017.62494196362</v>
      </c>
      <c r="D19" s="33" t="n">
        <f aca="false">D18-D17</f>
        <v>-12821.6299718247</v>
      </c>
    </row>
    <row r="20" customFormat="false" ht="15" hidden="false" customHeight="true" outlineLevel="0" collapsed="false">
      <c r="A20" s="5" t="s">
        <v>128</v>
      </c>
      <c r="B20" s="34" t="n">
        <f aca="false">IFERROR(B19/B18, 0)</f>
        <v>0.0285237078465639</v>
      </c>
      <c r="C20" s="34" t="n">
        <f aca="false">IFERROR(C19/C18, 0)</f>
        <v>-0.166343363964942</v>
      </c>
      <c r="D20" s="34" t="n">
        <f aca="false">IFERROR(D19/D18, 0)</f>
        <v>-0.394888468994352</v>
      </c>
    </row>
    <row r="22" customFormat="false" ht="15" hidden="false" customHeight="true" outlineLevel="0" collapsed="false">
      <c r="A22" s="21" t="s">
        <v>129</v>
      </c>
    </row>
    <row r="23" customFormat="false" ht="15" hidden="false" customHeight="true" outlineLevel="0" collapsed="false">
      <c r="A23" s="22" t="s">
        <v>130</v>
      </c>
      <c r="B23" s="22"/>
      <c r="C23" s="22"/>
      <c r="D23" s="22"/>
    </row>
    <row r="24" customFormat="false" ht="15" hidden="false" customHeight="true" outlineLevel="0" collapsed="false">
      <c r="A24" s="22" t="s">
        <v>131</v>
      </c>
      <c r="B24" s="22"/>
      <c r="C24" s="22"/>
      <c r="D24" s="22"/>
    </row>
    <row r="25" customFormat="false" ht="15" hidden="false" customHeight="true" outlineLevel="0" collapsed="false">
      <c r="A25" s="22" t="s">
        <v>132</v>
      </c>
      <c r="B25" s="22"/>
      <c r="C25" s="22"/>
      <c r="D25" s="22"/>
    </row>
    <row r="26" customFormat="false" ht="15" hidden="false" customHeight="true" outlineLevel="0" collapsed="false">
      <c r="A26" s="22" t="s">
        <v>133</v>
      </c>
      <c r="B26" s="22"/>
      <c r="C26" s="22"/>
      <c r="D26" s="22"/>
    </row>
    <row r="27" customFormat="false" ht="15" hidden="false" customHeight="true" outlineLevel="0" collapsed="false">
      <c r="A27" s="22" t="s">
        <v>134</v>
      </c>
      <c r="B27" s="22"/>
      <c r="C27" s="22"/>
      <c r="D27" s="22"/>
    </row>
    <row r="28" customFormat="false" ht="15" hidden="false" customHeight="true" outlineLevel="0" collapsed="false">
      <c r="A28" s="22" t="s">
        <v>135</v>
      </c>
      <c r="B28" s="22"/>
      <c r="C28" s="22"/>
      <c r="D28" s="22"/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