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<sst xmlns="http://schemas.openxmlformats.org/spreadsheetml/2006/main" count="190" uniqueCount="180">
  <si>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</si>
  <si>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</si>
  <si>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</si>
  <si>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</si>
  <si>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</si>
  <si>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</si>
  <si>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</si>
  <si>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</si>
  <si>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</si>
  <si>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</si>
  <si>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</si>
  <si>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</si>
  <si>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</si>
  <si>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</si>
  <si>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</si>
  <si>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</si>
  <si>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</si>
  <si>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</si>
  <si>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</si>
  <si>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</si>
  <si>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</si>
  <si>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</si>
  <si>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</si>
  <si>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</si>
  <si>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</si>
  <si>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</si>
  <si>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</si>
  <si>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</si>
  <si>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</si>
  <si>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</si>
  <si>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</si>
  <si>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</si>
  <si>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</si>
  <si>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</si>
  <si>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</si>
  <si>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</si>
  <si>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</si>
  <si>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</si>
  <si>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</si>
  <si>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reale comparto</t>
  </si>
  <si>
    <t xml:space="preserve">al netto di costi, tassa del 20% e inflazione: bilanciato ~2,5% reale (come montecarlo-pensione.py)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</si>
  <si>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</si>
  <si>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</si>
  <si>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</si>
  <si>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</si>
  <si>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</si>
  <si>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</si>
  <si>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</si>
  <si>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</si>
  <si>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</si>
  <si>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</si>
  <si>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</si>
  <si>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</si>
  <si>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</si>
  <si>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</si>
  <si>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</si>
  <si>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</si>
  <si>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</si>
  <si>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</si>
  <si>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</si>
  <si>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</si>
  <si>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</si>
  <si>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</si>
  <si>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</si>
  <si>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</si>
  <si>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</si>
  <si>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</si>
  <si>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</si>
  <si>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</si>
  <si>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</si>
  <si>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</si>
  <si>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</si>
  <si>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</si>
  <si>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</si>
  <si>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</si>
  <si>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</si>
  <si>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</si>
  <si>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</si>
  <si>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</si>
  <si>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</si>
  <si>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</si>
  <si>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</si>
  <si>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</si>
  <si>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</si>
  <si>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</si>
  <si>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</si>
  <si>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</si>
  <si>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</si>
  <si>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</si>
  <si>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</si>
  <si>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</si>
  <si>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</si>
  <si>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</si>
  <si>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</si>
  <si>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</si>
  <si>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</si>
  <si>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</si>
  <si>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</si>
  <si>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</si>
  <si>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TUIR, dal 2027 art. 13 c. 3 D.Lgs. 117/2026)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</si>
  <si>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</si>
  <si>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</si>
  <si>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</si>
  <si>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</si>
  <si>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</si>
  <si>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</si>
  <si>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</si>
  <si>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</si>
  <si>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</si>
  <si>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</si>
  <si>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</si>
  <si>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</si>
  <si>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</si>
  <si>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</si>
  <si>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</si>
  <si>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</si>
  <si>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</si>
  <si>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</si>
  <si>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</si>
  <si>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</si>
  <si>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</si>
  <si>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</si>
  <si>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</si>
  <si>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</si>
  <si>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</si>
  <si>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</si>
  <si>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</si>
  <si>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REALE del comparto: al netto dei costi, della tassa annua del 20% (12,5% titoli di Stato) e dell'inflazione.</t>
  </si>
  <si>
    <t xml:space="preserve">3. Aliquota finale 15% → 9% sui soli TFR e contributi dedotti: rendimenti già tassati e non dedotti comunicati sono esclusi (art. 11 c. 6 D.Lgs. 252/2005; dal 2027 art. 258 c. 4 D.Lgs. 117/2026).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</si>
  <si>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</si>
  <si>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</si>
  <si>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</si>
  <si>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</si>
  <si>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</si>
  <si>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</si>
  <si>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dedotto, 23% con anticipazioni non sanitarie o riscatti per altre cause).</t>
  </si>
  <si>
    <t xml:space="preserve">CONFRONTO TFR: IN AZIENDA O NEL FONDO (€ di oggi; TFR futuro, più il saldo solo se è già nel fondo: il maturato in azienda ci resta)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</si>
  <si>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</si>
  <si>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</si>
  <si>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</si>
  <si>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</si>
  <si>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</si>
  <si>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</si>
  <si>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</si>
  <si>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</si>
  <si>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</si>
  <si>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TUIR; dal 2027 nel D.Lgs. 117/2026, articolo da verificare), poi riliquidata sui 5 anni precedenti.</t>
  </si>
  <si>
    <t xml:space="preserve">Fondo: rendimento del comparto (Input B28) e 15%→9% sulle sole quote di TFR, non sui rendimenti già tassati (art. 11 c. 6 D.Lgs. 252/2005; dal 2027 art. 258 c. 4 D.Lgs. 117/2026). Il conferimento è irrevocabile e riguarda il TFR futuro: con il TFR ancora in azienda il blocco confronta le sole quote future.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</si>
  <si>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</si>
  <si>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</si>
  <si>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</si>
  <si>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</si>
  <si>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</si>
  <si>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</si>
  <si>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</si>
  <si>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</si>
  <si>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</si>
  <si>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</si>
  <si>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</si>
  <si>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</si>
  <si>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</si>
  <si>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</si>
  <si>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</si>
  <si>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</si>
  <si>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</si>
  <si>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</si>
  <si>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</si>
  <si>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</si>
  <si>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</si>
  <si>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</si>
  <si>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</si>
  <si>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</si>
  <si>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</si>
  <si>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</si>
  <si>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gap: la riga 34 lo traduce in rendita equivalente per il confronto.</t>
  </si>
  <si>
    <t xml:space="preserve">• L'inflazione (riga 7) entra solo sulle basi imponibili nominali (TFR in azienda, base del fondo in uscita) e nella riga 21. Soglie fiscali (scaglioni, plafond €5.300) restano quelle di oggi in euro di oggi, come in netto-pensione.py: se la legge non le aggiorna, l'imposta reale cresce.</t>
  </si>
  <si>
    <t xml:space="preserve">CALCOLI DI SUPPORTO — TFR in azienda per scenario</t>
  </si>
  <si>
    <t xml:space="preserve">TFR in azienda lordo al pensionamento</t>
  </si>
  <si>
    <t xml:space="preserve">Base della tassazione separata</t>
  </si>
  <si>
    <t xml:space="preserve">TFR in azienda come rendita equivalente (5,5%, solo confronto, fuori dal gap)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</si>
</sst>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0.025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325</v>
      </c>
      <c r="H5" s="25" t="n">
        <f aca="false">Input!$B$22*Input!$B$21+Input!$B$25+D5+E5+F5+G5</f>
        <v>19109.5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IF(B5&lt;Input!$B$6,Input!$B$22*Input!$B$21*(1+Input!$B$49)+L5,Input!$B$22*Input!$B$21)</f>
        <v>11147.931372549</v>
      </c>
      <c r="N5" s="25" t="n">
        <f aca="false">IF(B5&lt;Input!$B$6,Input!$B$22*Input!$B$21*(1+Input!$B$28)+L5,Input!$B$22*Input!$B$21)</f>
        <v>11309.5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477.7375</v>
      </c>
      <c r="H6" s="25" t="n">
        <f aca="false">H5+D6+E6+F6+G6</f>
        <v>25428.505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14748.38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635.712625</v>
      </c>
      <c r="H7" s="25" t="n">
        <f aca="false">H6+D7+E7+F7+G7</f>
        <v>31963.1041375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18320.5741375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799.0776034375</v>
      </c>
      <c r="H8" s="25" t="n">
        <f aca="false">H7+D8+E8+F8+G8</f>
        <v>38719.551551125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22030.125398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967.988788778125</v>
      </c>
      <c r="H9" s="25" t="n">
        <f aca="false">H8+D9+E9+F9+G9</f>
        <v>45704.2706972434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25881.1884936184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1142.60676743109</v>
      </c>
      <c r="H10" s="25" t="n">
        <f aca="false">H9+D10+E10+F10+G10</f>
        <v>52923.8587773749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29878.0328160374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1323.09646943437</v>
      </c>
      <c r="H11" s="25" t="n">
        <f aca="false">H10+D11+E11+F11+G11</f>
        <v>60385.0912792002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34025.0454656679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1509.62728198001</v>
      </c>
      <c r="H12" s="25" t="n">
        <f aca="false">H11+D12+E12+F12+G12</f>
        <v>68094.926634057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38326.7343589777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1702.37316585143</v>
      </c>
      <c r="H13" s="25" t="n">
        <f aca="false">H12+D13+E13+F13+G13</f>
        <v>76060.5109938784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42787.7314159703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1901.51277484696</v>
      </c>
      <c r="H14" s="25" t="n">
        <f aca="false">H13+D14+E14+F14+G14</f>
        <v>84289.1831306048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47412.7958298579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2107.22957826512</v>
      </c>
      <c r="H15" s="25" t="n">
        <f aca="false">H14+D15+E15+F15+G15</f>
        <v>92788.4794611776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52206.81742102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2319.71198652944</v>
      </c>
      <c r="H16" s="25" t="n">
        <f aca="false">H15+D16+E16+F16+G16</f>
        <v>101566.139201299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57174.8200773925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2539.15348003248</v>
      </c>
      <c r="H17" s="25" t="n">
        <f aca="false">H16+D17+E17+F17+G17</f>
        <v>110630.109651228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62321.9652834869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2765.7527412807</v>
      </c>
      <c r="H18" s="25" t="n">
        <f aca="false">H17+D18+E18+F18+G18</f>
        <v>119988.551616953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67653.5557402961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2999.71379042383</v>
      </c>
      <c r="H19" s="25" t="n">
        <f aca="false">H18+D19+E19+F19+G19</f>
        <v>129649.844970188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73175.0390783964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3241.24612425471</v>
      </c>
      <c r="H20" s="25" t="n">
        <f aca="false">H19+D20+E20+F20+G20</f>
        <v>139622.594350697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78892.011666618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3490.56485876742</v>
      </c>
      <c r="H21" s="25" t="n">
        <f aca="false">H20+D21+E21+F21+G21</f>
        <v>149915.635014561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84810.2225187141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3747.89087536403</v>
      </c>
      <c r="H22" s="25" t="n">
        <f aca="false">H21+D22+E22+F22+G22</f>
        <v>160538.038832099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90935.5773005191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4013.45097080247</v>
      </c>
      <c r="H23" s="25" t="n">
        <f aca="false">H22+D23+E23+F23+G23</f>
        <v>171499.120439208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97274.1424401518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4287.47801098019</v>
      </c>
      <c r="H24" s="25" t="n">
        <f aca="false">H23+D24+E24+F24+G24</f>
        <v>182808.443546039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103832.149343882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4570.21108865097</v>
      </c>
      <c r="H25" s="25" t="n">
        <f aca="false">H24+D25+E25+F25+G25</f>
        <v>194475.827406979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110615.998720347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4861.89568517446</v>
      </c>
      <c r="H26" s="25" t="n">
        <f aca="false">H25+D26+E26+F26+G26</f>
        <v>206511.353456026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117632.265015866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5162.78383640065</v>
      </c>
      <c r="H27" s="25" t="n">
        <f aca="false">H26+D27+E27+F27+G27</f>
        <v>211674.137292427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117632.265015866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5291.85343231067</v>
      </c>
      <c r="H28" s="25" t="n">
        <f aca="false">H27+D28+E28+F28+G28</f>
        <v>216965.990724737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117632.265015866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5424.14976811843</v>
      </c>
      <c r="H29" s="25" t="n">
        <f aca="false">H28+D29+E29+F29+G29</f>
        <v>222390.140492856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117632.265015866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5559.75351232139</v>
      </c>
      <c r="H30" s="25" t="n">
        <f aca="false">H29+D30+E30+F30+G30</f>
        <v>227949.894005177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117632.265015866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5698.74735012943</v>
      </c>
      <c r="H31" s="25" t="n">
        <f aca="false">H30+D31+E31+F31+G31</f>
        <v>233648.641355307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117632.265015866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5841.21603388266</v>
      </c>
      <c r="H32" s="25" t="n">
        <f aca="false">H31+D32+E32+F32+G32</f>
        <v>239489.857389189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117632.265015866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5987.24643472973</v>
      </c>
      <c r="H33" s="25" t="n">
        <f aca="false">H32+D33+E33+F33+G33</f>
        <v>245477.103823919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117632.265015866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6136.92759559797</v>
      </c>
      <c r="H34" s="25" t="n">
        <f aca="false">H33+D34+E34+F34+G34</f>
        <v>251614.031419517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117632.265015866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6290.35078548792</v>
      </c>
      <c r="H35" s="25" t="n">
        <f aca="false">H34+D35+E35+F35+G35</f>
        <v>257904.382205005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117632.265015866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6447.60955512512</v>
      </c>
      <c r="H36" s="25" t="n">
        <f aca="false">H35+D36+E36+F36+G36</f>
        <v>264351.99176013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117632.265015866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6608.79979400325</v>
      </c>
      <c r="H37" s="25" t="n">
        <f aca="false">H36+D37+E37+F37+G37</f>
        <v>270960.791554133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117632.265015866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6774.01978885333</v>
      </c>
      <c r="H38" s="25" t="n">
        <f aca="false">H37+D38+E38+F38+G38</f>
        <v>277734.811342987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117632.265015866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6943.37028357467</v>
      </c>
      <c r="H39" s="25" t="n">
        <f aca="false">H38+D39+E39+F39+G39</f>
        <v>284678.181626561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117632.265015866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7116.95454066403</v>
      </c>
      <c r="H40" s="25" t="n">
        <f aca="false">H39+D40+E40+F40+G40</f>
        <v>291795.136167225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117632.265015866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7294.87840418063</v>
      </c>
      <c r="H41" s="25" t="n">
        <f aca="false">H40+D41+E41+F41+G41</f>
        <v>299090.014571406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117632.265015866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7477.25036428515</v>
      </c>
      <c r="H42" s="25" t="n">
        <f aca="false">H41+D42+E42+F42+G42</f>
        <v>306567.264935691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117632.265015866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7664.18162339228</v>
      </c>
      <c r="H43" s="25" t="n">
        <f aca="false">H42+D43+E43+F43+G43</f>
        <v>314231.446559083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117632.265015866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7855.78616397708</v>
      </c>
      <c r="H44" s="25" t="n">
        <f aca="false">H43+D44+E44+F44+G44</f>
        <v>322087.23272306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117632.265015866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8052.18081807651</v>
      </c>
      <c r="H45" s="25" t="n">
        <f aca="false">H44+D45+E45+F45+G45</f>
        <v>330139.413541137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117632.265015866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8253.48533852842</v>
      </c>
      <c r="H46" s="25" t="n">
        <f aca="false">H45+D46+E46+F46+G46</f>
        <v>338392.898879665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117632.265015866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8459.82247199163</v>
      </c>
      <c r="H47" s="25" t="n">
        <f aca="false">H46+D47+E47+F47+G47</f>
        <v>346852.721351657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117632.265015866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8671.31803379143</v>
      </c>
      <c r="H48" s="25" t="n">
        <f aca="false">H47+D48+E48+F48+G48</f>
        <v>355524.039385448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117632.265015866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8888.10098463621</v>
      </c>
      <c r="H49" s="25" t="n">
        <f aca="false">H48+D49+E49+F49+G49</f>
        <v>364412.140370085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117632.265015866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9110.30350925212</v>
      </c>
      <c r="H50" s="25" t="n">
        <f aca="false">H49+D50+E50+F50+G50</f>
        <v>373522.443879337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117632.265015866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9338.06109698342</v>
      </c>
      <c r="H51" s="25" t="n">
        <f aca="false">H50+D51+E51+F51+G51</f>
        <v>382860.50497632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117632.265015866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9571.51262440801</v>
      </c>
      <c r="H52" s="25" t="n">
        <f aca="false">H51+D52+E52+F52+G52</f>
        <v>392432.017600728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117632.265015866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9810.80044001821</v>
      </c>
      <c r="H53" s="25" t="n">
        <f aca="false">H52+D53+E53+F53+G53</f>
        <v>402242.818040746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117632.265015866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10056.0704510187</v>
      </c>
      <c r="H54" s="25" t="n">
        <f aca="false">H53+D54+E54+F54+G54</f>
        <v>412298.888491765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117632.265015866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206511.353456026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192473.641724852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10586.0502948668</v>
      </c>
    </row>
    <row r="63" customFormat="false" ht="15" hidden="false" customHeight="true" outlineLevel="0" collapsed="false">
      <c r="A63" s="5" t="s">
        <v>123</v>
      </c>
      <c r="B63" s="15" t="n">
        <f aca="false">B62/13</f>
        <v>814.311561143603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Input!$B$22*Input!$B$21*(1+Input!$B$17)^(-Input!$B$36)+SUM(O5:O54)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B81*12/(Input!$B$48*Input!$B$21+Input!$B$36)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117632.265015866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109603.982354942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33835.7210969616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f aca="false">Input!$B$12-0.01</f>
        <v>0.005</v>
      </c>
      <c r="C5" s="32" t="n">
        <f aca="false">Input!$B$12</f>
        <v>0.015</v>
      </c>
      <c r="D5" s="31" t="n">
        <f aca="false">Input!$B$12+0.01</f>
        <v>0.025</v>
      </c>
    </row>
    <row r="6" customFormat="false" ht="15" hidden="false" customHeight="true" outlineLevel="0" collapsed="false">
      <c r="A6" s="5" t="s">
        <v>156</v>
      </c>
      <c r="B6" s="31" t="n">
        <f aca="false">MAX(0,Input!$B$16-0.005)</f>
        <v>0</v>
      </c>
      <c r="C6" s="32" t="n">
        <f aca="false">Input!$B$16</f>
        <v>0.005</v>
      </c>
      <c r="D6" s="31" t="n">
        <f aca="false">Input!$B$16+0.005</f>
        <v>0.01</v>
      </c>
    </row>
    <row r="7" customFormat="false" ht="15" hidden="false" customHeight="true" outlineLevel="0" collapsed="false">
      <c r="A7" s="5" t="s">
        <v>157</v>
      </c>
      <c r="B7" s="31" t="n">
        <f aca="false">Input!$B$17+0.005</f>
        <v>0.025</v>
      </c>
      <c r="C7" s="32" t="n">
        <f aca="false">Input!$B$17</f>
        <v>0.02</v>
      </c>
      <c r="D7" s="31" t="n">
        <f aca="false">MAX(0,Input!$B$17-0.005)</f>
        <v>0.015</v>
      </c>
    </row>
    <row r="8" customFormat="false" ht="15" hidden="false" customHeight="true" outlineLevel="0" collapsed="false">
      <c r="A8" s="5" t="s">
        <v>25</v>
      </c>
      <c r="B8" s="31" t="n">
        <f aca="false">Input!$B$18+0.004</f>
        <v>0.022</v>
      </c>
      <c r="C8" s="32" t="n">
        <f aca="false">Input!$B$18</f>
        <v>0.018</v>
      </c>
      <c r="D8" s="31" t="n">
        <f aca="false">MAX(0,Input!$B$18-0.003)</f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0.015</v>
      </c>
      <c r="C9" s="32" t="n">
        <f aca="false">Input!$B$28</f>
        <v>0.025</v>
      </c>
      <c r="D9" s="32" t="n">
        <f aca="false">Input!$B$28+0.01</f>
        <v>0.035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172497.30771332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206511.353456026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247509.315024691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160150.449045567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192473.641724851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231500.617354895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8808.2746975062</v>
      </c>
      <c r="C15" s="26" t="n">
        <f aca="false">C14*0.055</f>
        <v>10586.0502948668</v>
      </c>
      <c r="D15" s="26" t="n">
        <f aca="false">D14*0.055</f>
        <v>12732.5339545192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28977.1928905719</v>
      </c>
      <c r="C17" s="25" t="n">
        <f aca="false">C12+C15</f>
        <v>34106.6140610565</v>
      </c>
      <c r="D17" s="25" t="n">
        <f aca="false">D12+D15</f>
        <v>39841.124426748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-5577.1928905719</v>
      </c>
      <c r="C19" s="33" t="n">
        <f aca="false">C18-C17</f>
        <v>-10706.6140610565</v>
      </c>
      <c r="D19" s="33" t="n">
        <f aca="false">D18-D17</f>
        <v>-16441.124426748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-0.238341576520167</v>
      </c>
      <c r="C20" s="34" t="n">
        <f aca="false">IFERROR(C19/C18, 0)</f>
        <v>-0.457547609446861</v>
      </c>
      <c r="D20" s="34" t="n">
        <f aca="false">IFERROR(D19/D18, 0)</f>
        <v>-0.702612154989229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-9601.53575919563</v>
      </c>
      <c r="C21" s="33" t="n">
        <f aca="false">C19*(1+C7)^Input!$B$36</f>
        <v>-16552.2076812366</v>
      </c>
      <c r="D21" s="33" t="n">
        <f aca="false">D19*(1+D7)^Input!$B$36</f>
        <v>-22813.1074273204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  <row r="34" customFormat="false" ht="15" hidden="false" customHeight="false" outlineLevel="0" collapsed="false">
      <c r="A34" s="5" t="s">
        <v>179</v>
      </c>
      <c r="B34" s="26" t="n">
        <f aca="false">B16*0.055</f>
        <v>0</v>
      </c>
      <c r="C34" s="26" t="n">
        <f aca="false">C16*0.055</f>
        <v>0</v>
      </c>
      <c r="D34" s="26" t="n">
        <f aca="false">D16*0.055</f>
        <v>0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