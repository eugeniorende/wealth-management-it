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" sheetId="1" state="visible" r:id="rId3"/>
    <sheet name="Coefficienti" sheetId="2" state="visible" r:id="rId4"/>
    <sheet name="Previdenza" sheetId="3" state="visible" r:id="rId5"/>
    <sheet name="Fiscalità" sheetId="4" state="visible" r:id="rId6"/>
    <sheet name="Complementare" sheetId="5" state="visible" r:id="rId7"/>
    <sheet name="Riepilog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<sst xmlns="http://schemas.openxmlformats.org/spreadsheetml/2006/main" count="200" uniqueCount="189">
  <si>
    <t xml:space="preserve">Proiezione pensione autonomi — Parametri</t>
  </si>
  <si>
    <t xml:space="preserve">Compila le celle BLU. Le celle NERE sono calcolate, le VERDI sono richiami. Pensato per Gestione Separata o cassa professionale; nessun TFR.</t>
  </si>
  <si>
    <t xml:space="preserve">Dati anagrafici</t>
  </si>
  <si>
    <t xml:space="preserve">Età attuale</t>
  </si>
  <si>
    <t xml:space="preserve">anni compiuti</t>
  </si>
  <si>
    <t xml:space="preserve">Età prevista di pensionamento</t>
  </si>
  <si>
    <t xml:space="preserve">es. 67</t>
  </si>
  <si>
    <t xml:space="preserve">Anni alla pensione</t>
  </si>
  <si>
    <t xml:space="preserve">calcolato</t>
  </si>
  <si>
    <t xml:space="preserve">Previdenza obbligatoria</t>
  </si>
  <si>
    <t xml:space="preserve">(1 = Gestione Separata INPS, 2 = Cassa professionale)</t>
  </si>
  <si>
    <t xml:space="preserve">Tipo di previdenza</t>
  </si>
  <si>
    <t xml:space="preserve">informativo; imposta tu l'aliquota sotto</t>
  </si>
  <si>
    <t xml:space="preserve">Aliquota contributiva (montante)</t>
  </si>
  <si>
    <t xml:space="preserve">GS 26,07%; cassa: aliquota soggettiva (es. Inarcassa 14,5%, Forense 17%)</t>
  </si>
  <si>
    <t xml:space="preserve">Montante previdenziale già accumulato</t>
  </si>
  <si>
    <t xml:space="preserve">stima del montante contributivo a oggi</t>
  </si>
  <si>
    <t xml:space="preserve">Rivalutazione annua del montante (reale)</t>
  </si>
  <si>
    <t xml:space="preserve">Gestione Separata: PIL reale ~0,5%, come i dipendenti; cassa: regola propria al netto dell'inflazione</t>
  </si>
  <si>
    <t xml:space="preserve">Decadimento coefficiente / biennio</t>
  </si>
  <si>
    <t xml:space="preserve">il coefficiente cala ~1,8%/biennio; 0 = congelato</t>
  </si>
  <si>
    <t xml:space="preserve">Reddito professionale</t>
  </si>
  <si>
    <t xml:space="preserve">(1 = forfettario, 2 = ordinario)</t>
  </si>
  <si>
    <t xml:space="preserve">Regime fiscale</t>
  </si>
  <si>
    <t xml:space="preserve">forfettario o ordinario</t>
  </si>
  <si>
    <t xml:space="preserve">Coefficiente di redditività (forfettario)</t>
  </si>
  <si>
    <t xml:space="preserve">tech/consulenza 78%; usato solo in forfettario</t>
  </si>
  <si>
    <t xml:space="preserve">Fatturato / ricavi annui</t>
  </si>
  <si>
    <t xml:space="preserve">ricavi incassati nell'anno</t>
  </si>
  <si>
    <t xml:space="preserve">Costi attività (solo ordinario)</t>
  </si>
  <si>
    <t xml:space="preserve">spese deducibili; ignorato in forfettario</t>
  </si>
  <si>
    <t xml:space="preserve">Reddito lordo professionale</t>
  </si>
  <si>
    <t xml:space="preserve">forfettario: fatturato×coeff; ordinario: fatturato−costi</t>
  </si>
  <si>
    <t xml:space="preserve">Crescita reddito annua (reale)</t>
  </si>
  <si>
    <t xml:space="preserve">in termini reali, al netto inflazione</t>
  </si>
  <si>
    <t xml:space="preserve">Fondo pensione complementare (3° pilastro)</t>
  </si>
  <si>
    <t xml:space="preserve">Versamento annuo al fondo pensione</t>
  </si>
  <si>
    <t xml:space="preserve">volontario; vedi nota deducibilità nel foglio Fiscalità</t>
  </si>
  <si>
    <t xml:space="preserve">Rendimento annuo atteso del fondo</t>
  </si>
  <si>
    <t xml:space="preserve">comparto scelto (reale)</t>
  </si>
  <si>
    <t xml:space="preserve">Costo annuo (ISC) del fondo</t>
  </si>
  <si>
    <t xml:space="preserve">negoziale 0,2-0,5%; aperto 0,8-1,5%; PIP 1,5-3%</t>
  </si>
  <si>
    <t xml:space="preserve">Montante fondo già accumulato</t>
  </si>
  <si>
    <t xml:space="preserve">se hai già un fondo pensione; per la tassa in uscita è trattato come dedotto (stima prudente)</t>
  </si>
  <si>
    <t xml:space="preserve">Anni di iscrizione al fondo (al pensionamento)</t>
  </si>
  <si>
    <t xml:space="preserve">per l'aliquota finale 15→9%</t>
  </si>
  <si>
    <t xml:space="preserve">Fiscalità</t>
  </si>
  <si>
    <t xml:space="preserve">Aliquota sostitutiva (forfettario)</t>
  </si>
  <si>
    <t xml:space="preserve">15% a regime, 5% nei primi 5 anni</t>
  </si>
  <si>
    <t xml:space="preserve">Aliquota IRPEF marginale (ordinario)</t>
  </si>
  <si>
    <t xml:space="preserve">23/33/43% sul reddito lordo</t>
  </si>
  <si>
    <t xml:space="preserve">Aliquota fondo pensione finale</t>
  </si>
  <si>
    <t xml:space="preserve">15% fino al 15° anno, poi −0,3%/anno fino a 9%</t>
  </si>
  <si>
    <t xml:space="preserve">Inflazione annua attesa</t>
  </si>
  <si>
    <t xml:space="preserve">per riferimento</t>
  </si>
  <si>
    <t xml:space="preserve">Coefficiente di trasformazione</t>
  </si>
  <si>
    <t xml:space="preserve">Coefficiente attuale (età pensione)</t>
  </si>
  <si>
    <t xml:space="preserve">dalla tabella 2025-2026</t>
  </si>
  <si>
    <t xml:space="preserve">Coefficiente PROIETTATO al pensionamento</t>
  </si>
  <si>
    <t xml:space="preserve">ridotto per i bienni mancanti; è quello usato</t>
  </si>
  <si>
    <t xml:space="preserve">Fondo pensione: deducibilità e uscita</t>
  </si>
  <si>
    <t xml:space="preserve">Versamento dedotto ogni anno</t>
  </si>
  <si>
    <t xml:space="preserve">forfettario: solo fino agli altri redditi IRPEF (B52); ordinario: fino al plafond</t>
  </si>
  <si>
    <t xml:space="preserve">Non dedotti comunicati al fondo (1 = sì, 0 = no)</t>
  </si>
  <si>
    <t xml:space="preserve">entro il 31/12 dell'anno dopo: così in uscita non sono tassati</t>
  </si>
  <si>
    <t xml:space="preserve">Plafond deducibilità fondo pensione</t>
  </si>
  <si>
    <t xml:space="preserve">art. 8 c. 4 D.Lgs. 252/2005 (€5.164,57 fino al 2025)</t>
  </si>
  <si>
    <t xml:space="preserve">Massimale, altri redditi e spese</t>
  </si>
  <si>
    <t xml:space="preserve">Massimale contributivo annuo</t>
  </si>
  <si>
    <t xml:space="preserve">Gestione Separata 2026 (Circ. INPS 8/2026); per una cassa il suo tetto, qui trattato come tetto secco</t>
  </si>
  <si>
    <t xml:space="preserve">Altri redditi IRPEF (no cedolare secca)</t>
  </si>
  <si>
    <t xml:space="preserve">affitti a IRPEF, lavoro dipendente part-time: danno capienza alla deduzione del fondo</t>
  </si>
  <si>
    <t xml:space="preserve">Spesa mensile attuale</t>
  </si>
  <si>
    <t xml:space="preserve">€/mese, in euro di oggi</t>
  </si>
  <si>
    <t xml:space="preserve">Fattore riduzione spesa post-pensione</t>
  </si>
  <si>
    <t xml:space="preserve">tipico 0,75-0,85</t>
  </si>
  <si>
    <t xml:space="preserve">Spesa annua target (€ di oggi)</t>
  </si>
  <si>
    <t xml:space="preserve">spesa mensile × 12 × fattore</t>
  </si>
  <si>
    <t xml:space="preserve">Coefficienti di trasformazione — biennio 2025-2026</t>
  </si>
  <si>
    <t xml:space="preserve">Fonte: Decreto direttoriale 20 novembre 2024 (Min. Lavoro / MEF) — GU n. 35 del 12/02/2025</t>
  </si>
  <si>
    <t xml:space="preserve">Età</t>
  </si>
  <si>
    <t xml:space="preserve">Divisore</t>
  </si>
  <si>
    <t xml:space="preserve">Coefficiente</t>
  </si>
  <si>
    <t xml:space="preserve">NOTE:</t>
  </si>
  <si>
    <t xml:space="preserve">1. Valgono per pensioni con decorrenza 2025-2026; i coefficienti calano ~1,5-2,2% per biennio.</t>
  </si>
  <si>
    <t xml:space="preserve">2. Per pensioni future il foglio Input proietta il coefficiente in avanti (decadimento/biennio).</t>
  </si>
  <si>
    <t xml:space="preserve">3. Le casse professionali possono usare coefficienti propri: in tal caso sostituire il valore</t>
  </si>
  <si>
    <t xml:space="preserve">   'Coefficiente proiettato' nel foglio Input con quello fornito dalla cassa.</t>
  </si>
  <si>
    <t xml:space="preserve">Proiezione previdenza obbligatoria (Gestione Separata / cassa)</t>
  </si>
  <si>
    <t xml:space="preserve">Montante contributivo anno per anno, in euro di oggi: contributi fino al massimale, rivalutazione dall'anno dopo il versamento (L. 335/1995). La pensione usa il coefficiente PROIETTATO al pensionamento (foglio Input).</t>
  </si>
  <si>
    <t xml:space="preserve">Anno</t>
  </si>
  <si>
    <t xml:space="preserve">Reddito</t>
  </si>
  <si>
    <t xml:space="preserve">Contributo a montante (fino al massimale)</t>
  </si>
  <si>
    <t xml:space="preserve">Montante inizio</t>
  </si>
  <si>
    <t xml:space="preserve">Rivalutazione</t>
  </si>
  <si>
    <t xml:space="preserve">Montante fine</t>
  </si>
  <si>
    <t xml:space="preserve">RISULTATI A PENSIONAMENTO</t>
  </si>
  <si>
    <t xml:space="preserve">Montante finale al pensionamento</t>
  </si>
  <si>
    <t xml:space="preserve">Coefficiente proiettato (usato)</t>
  </si>
  <si>
    <t xml:space="preserve">Pensione obbligatoria lorda annua</t>
  </si>
  <si>
    <t xml:space="preserve">Pensione obbligatoria lorda mensile (×13)</t>
  </si>
  <si>
    <t xml:space="preserve">Reddito professionale all'ultimo anno</t>
  </si>
  <si>
    <t xml:space="preserve">Tasso di sostituzione lordo</t>
  </si>
  <si>
    <t xml:space="preserve">IRPEF lorda sulla pensione (scaglioni 2026)</t>
  </si>
  <si>
    <t xml:space="preserve">Detrazione pensionati (art. 13 c. 3 TUIR)</t>
  </si>
  <si>
    <t xml:space="preserve">Addizionali regionali + comunali (~2%, se c'è IRPEF)</t>
  </si>
  <si>
    <t xml:space="preserve">Pensione obbligatoria NETTA annua</t>
  </si>
  <si>
    <t xml:space="preserve">Pensione obbligatoria NETTA mensile (×13)</t>
  </si>
  <si>
    <t xml:space="preserve">Fiscalità annua — forfettario vs ordinario</t>
  </si>
  <si>
    <t xml:space="preserve">Fotografia dell'anno corrente nei due regimi. Mostra dove e quanto è deducibile il contributo previdenziale e il versamento al fondo pensione.</t>
  </si>
  <si>
    <t xml:space="preserve">Voce</t>
  </si>
  <si>
    <t xml:space="preserve">Forfettario</t>
  </si>
  <si>
    <t xml:space="preserve">Ordinario</t>
  </si>
  <si>
    <t xml:space="preserve">Fatturato / ricavi</t>
  </si>
  <si>
    <t xml:space="preserve">forf.: ×coeff; ord.: −costi</t>
  </si>
  <si>
    <t xml:space="preserve">− Contributi previdenziali obbligatori</t>
  </si>
  <si>
    <t xml:space="preserve">DEDUCIBILI in entrambi i regimi</t>
  </si>
  <si>
    <t xml:space="preserve">− Versamento fondo pensione dedotto</t>
  </si>
  <si>
    <t xml:space="preserve">forf.: solo dagli altri redditi IRPEF; ord.: dal reddito complessivo</t>
  </si>
  <si>
    <t xml:space="preserve">Imponibile (forf.: sostitutiva; ord.: IRPEF con altri redditi)</t>
  </si>
  <si>
    <t xml:space="preserve">Imposta</t>
  </si>
  <si>
    <t xml:space="preserve">forf.: sostitutiva + IRPEF lorda sugli altri redditi; ord.: IRPEF lorda (ante detrazioni)</t>
  </si>
  <si>
    <t xml:space="preserve">Netto disponibile (redditi − contributi − imposte)</t>
  </si>
  <si>
    <t xml:space="preserve">Beneficio fiscale del versamento al fondo pensione</t>
  </si>
  <si>
    <t xml:space="preserve">Imposta SENZA fondo pensione</t>
  </si>
  <si>
    <t xml:space="preserve">Risparmio fiscale dal fondo pensione</t>
  </si>
  <si>
    <t xml:space="preserve">forf.: IRPEF risparmiata sugli altri redditi; ord.: aliquota × versamento</t>
  </si>
  <si>
    <t xml:space="preserve">LETTURA: i contributi previdenziali OBBLIGATORI (Gestione Separata o cassa) si deducono in entrambi</t>
  </si>
  <si>
    <t xml:space="preserve">i regimi e abbattono l'imponibile. Il versamento VOLONTARIO al fondo pensione complementare invece</t>
  </si>
  <si>
    <t xml:space="preserve">si deduce solo contro l'IRPEF: in ORDINARIO fino al plafond, in forfettario solo fino agli altri redditi</t>
  </si>
  <si>
    <t xml:space="preserve">IRPEF (Input B52). Per un forfettario puro il risparmio in ingresso è zero (riga evidenziata). Il fondo</t>
  </si>
  <si>
    <t xml:space="preserve">pensione resta utile al forfettario per la capitalizzazione e perché i versamenti non dedotti, se</t>
  </si>
  <si>
    <t xml:space="preserve">comunicati al fondo, in uscita non sono tassati; va confrontato con un PAC di ETF (più liquido). L'IRPEF è</t>
  </si>
  <si>
    <t xml:space="preserve">lorda, ante detrazioni: l'imposta ordinaria reale è un po' più bassa. Confronto indicativo.</t>
  </si>
  <si>
    <t xml:space="preserve">Accumulo del fondo pensione anno per anno (rendimento netto dell'ISC). La rendita finale si somma alla pensione obbligatoria nel Riepilogo.</t>
  </si>
  <si>
    <t xml:space="preserve">Versamento</t>
  </si>
  <si>
    <t xml:space="preserve">Rendimento netto</t>
  </si>
  <si>
    <t xml:space="preserve">Base tassabile in uscita (€ oggi)</t>
  </si>
  <si>
    <t xml:space="preserve">RISULTATI FONDO PENSIONE</t>
  </si>
  <si>
    <t xml:space="preserve">Montante fondo al pensionamento</t>
  </si>
  <si>
    <t xml:space="preserve">Totale versato (somma versamenti)</t>
  </si>
  <si>
    <t xml:space="preserve">Tassa finale (15→9%) sui versamenti dedotti</t>
  </si>
  <si>
    <t xml:space="preserve">Montante netto disponibile</t>
  </si>
  <si>
    <t xml:space="preserve">Rendita annua stimata (× coeff.)</t>
  </si>
  <si>
    <t xml:space="preserve">NOTA DEDUCIBILITÀ: in regime ORDINARIO i versamenti sono deducibili dall'IRPEF fino a €5.300/anno</t>
  </si>
  <si>
    <t xml:space="preserve">(vedi foglio Fiscalità). In FORFETTARIO puro non sono deducibili, ma se comunicati al fondo entro il 31/12</t>
  </si>
  <si>
    <t xml:space="preserve">dell'anno dopo in uscita non sono tassati: il fondo rende per capitalizzazione e uscita esente su quella parte.</t>
  </si>
  <si>
    <t xml:space="preserve">Tassa finale solo sui versamenti dedotti (e sui non dedotti NON comunicati); rendimenti già tassati esclusi (art. 11 c. 6).</t>
  </si>
  <si>
    <t xml:space="preserve">Riepilogo: pensione attesa e gap</t>
  </si>
  <si>
    <t xml:space="preserve">Previdenza obbligatoria e complementare, tasso di sostituzione, gap rispetto al reddito attuale e alla spesa target. Valori in euro di oggi (reali).</t>
  </si>
  <si>
    <t xml:space="preserve">Pensione attesa (annua, lorda)</t>
  </si>
  <si>
    <t xml:space="preserve">Fondo pensione complementare</t>
  </si>
  <si>
    <t xml:space="preserve">Pensione totale annua</t>
  </si>
  <si>
    <t xml:space="preserve">Pensione totale mensile (×13)</t>
  </si>
  <si>
    <t xml:space="preserve">Pensione totale NETTA annua</t>
  </si>
  <si>
    <t xml:space="preserve">Tasso di sostituzione e gap</t>
  </si>
  <si>
    <t xml:space="preserve">Reddito professionale finale (annuo)</t>
  </si>
  <si>
    <t xml:space="preserve">Tasso di sostituzione — solo obbligatoria</t>
  </si>
  <si>
    <t xml:space="preserve">Tasso di sostituzione — totale</t>
  </si>
  <si>
    <t xml:space="preserve">Gap annuo (reddito finale − pensione totale)</t>
  </si>
  <si>
    <t xml:space="preserve">quanto manca per mantenere il reddito</t>
  </si>
  <si>
    <t xml:space="preserve">Gap mensile (×13)</t>
  </si>
  <si>
    <t xml:space="preserve">Obbligatoria e complementare (lorde)</t>
  </si>
  <si>
    <t xml:space="preserve">Tasso di sostituzione obbligatoria + complementare</t>
  </si>
  <si>
    <t xml:space="preserve">Scenario</t>
  </si>
  <si>
    <t xml:space="preserve">Pensione annua</t>
  </si>
  <si>
    <t xml:space="preserve">Tasso sost.</t>
  </si>
  <si>
    <t xml:space="preserve">Solo previdenza obbligatoria</t>
  </si>
  <si>
    <t xml:space="preserve">Obbligatoria + fondo pensione attuale</t>
  </si>
  <si>
    <t xml:space="preserve">Il tasso di sostituzione degli autonomi è strutturalmente più basso di quello dei dipendenti,</t>
  </si>
  <si>
    <t xml:space="preserve">perché l'aliquota contributiva è minore (26,07% in Gestione Separata, o l'aliquota soggettiva</t>
  </si>
  <si>
    <t xml:space="preserve">della cassa, contro il 33% del dipendente). Il fondo pensione complementare serve a colmare il gap,</t>
  </si>
  <si>
    <t xml:space="preserve">ma per un forfettario puro va valutato senza il vantaggio della deduzione in ingresso (foglio Fiscalità).</t>
  </si>
  <si>
    <t xml:space="preserve">Valori reali (euro di oggi); proiezione indicativa, non una garanzia. Non è consulenza.</t>
  </si>
  <si>
    <t xml:space="preserve">Scenari: gap rispetto alla spesa target (€ di oggi)</t>
  </si>
  <si>
    <t xml:space="preserve">Come proiezione-tenore-vita.md: gap = spesa target − pensione netta. Base = fogli di calcolo; le altre colonne ricalcolano con i propri parametri.</t>
  </si>
  <si>
    <t xml:space="preserve">Conservativo</t>
  </si>
  <si>
    <t xml:space="preserve">Base</t>
  </si>
  <si>
    <t xml:space="preserve">Ottimistico</t>
  </si>
  <si>
    <t xml:space="preserve">Rivalutazione montante (reale)</t>
  </si>
  <si>
    <t xml:space="preserve">Rendimento netto fondo (reale)</t>
  </si>
  <si>
    <t xml:space="preserve">Pensione obbligatoria lorda</t>
  </si>
  <si>
    <t xml:space="preserve">Pensione obbligatoria netta</t>
  </si>
  <si>
    <t xml:space="preserve">Rendita fondo (netta della tassa in uscita)</t>
  </si>
  <si>
    <t xml:space="preserve">Pensione totale netta</t>
  </si>
  <si>
    <t xml:space="preserve">Spesa target annua (€ di oggi)</t>
  </si>
  <si>
    <t xml:space="preserve">GAP (spesa target − pensione netta)</t>
  </si>
  <si>
    <t xml:space="preserve">Gap % della spesa target</t>
  </si>
  <si>
    <t xml:space="preserve">Scenari indicativi in euro di oggi; per le casse la rivalutazione segue la regola della cassa. Non è consulenza.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</si>
</sst>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0.00%;\(0.00%\);\-"/>
    <numFmt numFmtId="167" formatCode="\€#,##0;&quot;(€&quot;#,##0\);\-"/>
    <numFmt numFmtId="168" formatCode="0.000%"/>
    <numFmt numFmtId="169" formatCode="0.000"/>
    <numFmt numFmtId="170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9E1F2"/>
      </patternFill>
    </fill>
    <fill>
      <patternFill patternType="solid">
        <fgColor rgb="FFFFF2CC"/>
        <bgColor rgb="FFE7E6E6"/>
      </patternFill>
    </fill>
    <fill>
      <patternFill patternType="solid">
        <fgColor rgb="FF4472C4"/>
        <bgColor rgb="FF666666"/>
      </patternFill>
    </fill>
    <fill>
      <patternFill patternType="solid">
        <fgColor rgb="FFD9E1F2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7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7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11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7" fillId="5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7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7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5"/>
    <col collapsed="false" customWidth="true" hidden="false" outlineLevel="0" max="3" min="3" style="1" width="52"/>
  </cols>
  <sheetData>
    <row r="1" customFormat="false" ht="17.35" hidden="false" customHeight="false" outlineLevel="0" collapsed="false">
      <c r="A1" s="2" t="s">
        <v>0</v>
      </c>
      <c r="B1" s="2"/>
      <c r="C1" s="2"/>
    </row>
    <row r="2" customFormat="false" ht="15" hidden="false" customHeight="false" outlineLevel="0" collapsed="false">
      <c r="A2" s="3" t="s">
        <v>1</v>
      </c>
      <c r="B2" s="3"/>
      <c r="C2" s="3"/>
    </row>
    <row r="4" customFormat="false" ht="15" hidden="false" customHeight="false" outlineLevel="0" collapsed="false">
      <c r="A4" s="4" t="s">
        <v>2</v>
      </c>
      <c r="B4" s="4"/>
      <c r="C4" s="4"/>
    </row>
    <row r="5" customFormat="false" ht="15" hidden="false" customHeight="false" outlineLevel="0" collapsed="false">
      <c r="A5" s="5" t="s">
        <v>3</v>
      </c>
      <c r="B5" s="6" t="n">
        <v>37</v>
      </c>
      <c r="C5" s="7" t="s">
        <v>4</v>
      </c>
    </row>
    <row r="6" customFormat="false" ht="15" hidden="false" customHeight="false" outlineLevel="0" collapsed="false">
      <c r="A6" s="5" t="s">
        <v>5</v>
      </c>
      <c r="B6" s="6" t="n">
        <v>67</v>
      </c>
      <c r="C6" s="7" t="s">
        <v>6</v>
      </c>
    </row>
    <row r="7" customFormat="false" ht="15" hidden="false" customHeight="false" outlineLevel="0" collapsed="false">
      <c r="A7" s="5" t="s">
        <v>7</v>
      </c>
      <c r="B7" s="8" t="n">
        <f aca="false">Input!$B$6-Input!$B$5</f>
        <v>30</v>
      </c>
      <c r="C7" s="7" t="s">
        <v>8</v>
      </c>
    </row>
    <row r="9" customFormat="false" ht="15" hidden="false" customHeight="false" outlineLevel="0" collapsed="false">
      <c r="A9" s="4" t="s">
        <v>9</v>
      </c>
      <c r="B9" s="4"/>
      <c r="C9" s="4"/>
    </row>
    <row r="10" customFormat="false" ht="15" hidden="false" customHeight="false" outlineLevel="0" collapsed="false">
      <c r="A10" s="7" t="s">
        <v>10</v>
      </c>
    </row>
    <row r="11" customFormat="false" ht="15" hidden="false" customHeight="false" outlineLevel="0" collapsed="false">
      <c r="A11" s="5" t="s">
        <v>11</v>
      </c>
      <c r="B11" s="6" t="n">
        <v>1</v>
      </c>
      <c r="C11" s="7" t="s">
        <v>12</v>
      </c>
    </row>
    <row r="12" customFormat="false" ht="15" hidden="false" customHeight="false" outlineLevel="0" collapsed="false">
      <c r="A12" s="5" t="s">
        <v>13</v>
      </c>
      <c r="B12" s="9" t="n">
        <v>0.2607</v>
      </c>
      <c r="C12" s="7" t="s">
        <v>14</v>
      </c>
    </row>
    <row r="13" customFormat="false" ht="15" hidden="false" customHeight="false" outlineLevel="0" collapsed="false">
      <c r="A13" s="5" t="s">
        <v>15</v>
      </c>
      <c r="B13" s="10" t="n">
        <v>25000</v>
      </c>
      <c r="C13" s="7" t="s">
        <v>16</v>
      </c>
    </row>
    <row r="14" customFormat="false" ht="15" hidden="false" customHeight="false" outlineLevel="0" collapsed="false">
      <c r="A14" s="5" t="s">
        <v>17</v>
      </c>
      <c r="B14" s="9" t="n">
        <v>0.005</v>
      </c>
      <c r="C14" s="7" t="s">
        <v>18</v>
      </c>
    </row>
    <row r="15" customFormat="false" ht="15" hidden="false" customHeight="false" outlineLevel="0" collapsed="false">
      <c r="A15" s="5" t="s">
        <v>19</v>
      </c>
      <c r="B15" s="9" t="n">
        <v>0.018</v>
      </c>
      <c r="C15" s="7" t="s">
        <v>20</v>
      </c>
    </row>
    <row r="17" customFormat="false" ht="15" hidden="false" customHeight="false" outlineLevel="0" collapsed="false">
      <c r="A17" s="4" t="s">
        <v>21</v>
      </c>
      <c r="B17" s="4"/>
      <c r="C17" s="4"/>
    </row>
    <row r="18" customFormat="false" ht="15" hidden="false" customHeight="false" outlineLevel="0" collapsed="false">
      <c r="A18" s="7" t="s">
        <v>22</v>
      </c>
    </row>
    <row r="19" customFormat="false" ht="15" hidden="false" customHeight="false" outlineLevel="0" collapsed="false">
      <c r="A19" s="5" t="s">
        <v>23</v>
      </c>
      <c r="B19" s="6" t="n">
        <v>1</v>
      </c>
      <c r="C19" s="7" t="s">
        <v>24</v>
      </c>
    </row>
    <row r="20" customFormat="false" ht="15" hidden="false" customHeight="false" outlineLevel="0" collapsed="false">
      <c r="A20" s="5" t="s">
        <v>25</v>
      </c>
      <c r="B20" s="9" t="n">
        <v>0.78</v>
      </c>
      <c r="C20" s="7" t="s">
        <v>26</v>
      </c>
    </row>
    <row r="21" customFormat="false" ht="15" hidden="false" customHeight="false" outlineLevel="0" collapsed="false">
      <c r="A21" s="5" t="s">
        <v>27</v>
      </c>
      <c r="B21" s="10" t="n">
        <v>40000</v>
      </c>
      <c r="C21" s="7" t="s">
        <v>28</v>
      </c>
    </row>
    <row r="22" customFormat="false" ht="15" hidden="false" customHeight="false" outlineLevel="0" collapsed="false">
      <c r="A22" s="5" t="s">
        <v>29</v>
      </c>
      <c r="B22" s="10" t="n">
        <v>0</v>
      </c>
      <c r="C22" s="7" t="s">
        <v>30</v>
      </c>
    </row>
    <row r="23" customFormat="false" ht="15" hidden="false" customHeight="false" outlineLevel="0" collapsed="false">
      <c r="A23" s="5" t="s">
        <v>31</v>
      </c>
      <c r="B23" s="11" t="n">
        <f aca="false">IF(Input!$B$19=1,Input!$B$21*Input!$B$20,Input!$B$21-Input!$B$22)</f>
        <v>31200</v>
      </c>
      <c r="C23" s="7" t="s">
        <v>32</v>
      </c>
    </row>
    <row r="24" customFormat="false" ht="15" hidden="false" customHeight="false" outlineLevel="0" collapsed="false">
      <c r="A24" s="5" t="s">
        <v>33</v>
      </c>
      <c r="B24" s="9" t="n">
        <v>0.01</v>
      </c>
      <c r="C24" s="7" t="s">
        <v>34</v>
      </c>
    </row>
    <row r="26" customFormat="false" ht="15" hidden="false" customHeight="false" outlineLevel="0" collapsed="false">
      <c r="A26" s="4" t="s">
        <v>35</v>
      </c>
      <c r="B26" s="4"/>
      <c r="C26" s="4"/>
    </row>
    <row r="28" customFormat="false" ht="15" hidden="false" customHeight="false" outlineLevel="0" collapsed="false">
      <c r="A28" s="5" t="s">
        <v>36</v>
      </c>
      <c r="B28" s="10" t="n">
        <v>0</v>
      </c>
      <c r="C28" s="7" t="s">
        <v>37</v>
      </c>
    </row>
    <row r="29" customFormat="false" ht="15" hidden="false" customHeight="false" outlineLevel="0" collapsed="false">
      <c r="A29" s="5" t="s">
        <v>38</v>
      </c>
      <c r="B29" s="9" t="n">
        <v>0.03</v>
      </c>
      <c r="C29" s="7" t="s">
        <v>39</v>
      </c>
    </row>
    <row r="30" customFormat="false" ht="15" hidden="false" customHeight="false" outlineLevel="0" collapsed="false">
      <c r="A30" s="5" t="s">
        <v>40</v>
      </c>
      <c r="B30" s="9" t="n">
        <v>0.01</v>
      </c>
      <c r="C30" s="7" t="s">
        <v>41</v>
      </c>
    </row>
    <row r="31" customFormat="false" ht="15" hidden="false" customHeight="false" outlineLevel="0" collapsed="false">
      <c r="A31" s="5" t="s">
        <v>42</v>
      </c>
      <c r="B31" s="10" t="n">
        <v>0</v>
      </c>
      <c r="C31" s="7" t="s">
        <v>43</v>
      </c>
    </row>
    <row r="32" customFormat="false" ht="15" hidden="false" customHeight="false" outlineLevel="0" collapsed="false">
      <c r="A32" s="5" t="s">
        <v>44</v>
      </c>
      <c r="B32" s="6" t="n">
        <v>5</v>
      </c>
      <c r="C32" s="7" t="s">
        <v>45</v>
      </c>
    </row>
    <row r="35" customFormat="false" ht="15" hidden="false" customHeight="false" outlineLevel="0" collapsed="false">
      <c r="A35" s="4" t="s">
        <v>46</v>
      </c>
      <c r="B35" s="4"/>
      <c r="C35" s="4"/>
    </row>
    <row r="36" customFormat="false" ht="15" hidden="false" customHeight="false" outlineLevel="0" collapsed="false">
      <c r="A36" s="5" t="s">
        <v>47</v>
      </c>
      <c r="B36" s="9" t="n">
        <v>0.15</v>
      </c>
      <c r="C36" s="7" t="s">
        <v>48</v>
      </c>
    </row>
    <row r="37" customFormat="false" ht="15" hidden="false" customHeight="false" outlineLevel="0" collapsed="false">
      <c r="A37" s="5" t="s">
        <v>49</v>
      </c>
      <c r="B37" s="12" t="n">
        <f aca="false">IF(Input!$B$23&lt;=28000,0.23,IF(Input!$B$23&lt;=50000,0.33,0.43))</f>
        <v>0.33</v>
      </c>
      <c r="C37" s="7" t="s">
        <v>50</v>
      </c>
    </row>
    <row r="38" customFormat="false" ht="15" hidden="false" customHeight="false" outlineLevel="0" collapsed="false">
      <c r="A38" s="5" t="s">
        <v>51</v>
      </c>
      <c r="B38" s="12" t="n">
        <f aca="false">MAX(0.09,0.15-0.003*MAX(0,Input!$B$32-15))</f>
        <v>0.15</v>
      </c>
      <c r="C38" s="7" t="s">
        <v>52</v>
      </c>
    </row>
    <row r="39" customFormat="false" ht="15" hidden="false" customHeight="false" outlineLevel="0" collapsed="false">
      <c r="A39" s="5" t="s">
        <v>53</v>
      </c>
      <c r="B39" s="9" t="n">
        <v>0.02</v>
      </c>
      <c r="C39" s="7" t="s">
        <v>54</v>
      </c>
    </row>
    <row r="41" customFormat="false" ht="15" hidden="false" customHeight="false" outlineLevel="0" collapsed="false">
      <c r="A41" s="4" t="s">
        <v>55</v>
      </c>
      <c r="B41" s="4"/>
      <c r="C41" s="4"/>
    </row>
    <row r="42" customFormat="false" ht="15" hidden="false" customHeight="false" outlineLevel="0" collapsed="false">
      <c r="A42" s="5" t="s">
        <v>56</v>
      </c>
      <c r="B42" s="13" t="n">
        <f aca="false">VLOOKUP(Input!$B$6,Coefficienti!A5:C19,3,FALSE())</f>
        <v>0.05608</v>
      </c>
      <c r="C42" s="7" t="s">
        <v>57</v>
      </c>
    </row>
    <row r="43" customFormat="false" ht="15" hidden="false" customHeight="false" outlineLevel="0" collapsed="false">
      <c r="A43" s="5" t="s">
        <v>58</v>
      </c>
      <c r="B43" s="14" t="n">
        <f aca="false">Input!$B$42*(1-Input!$B$15)^(Input!$B$7/2)</f>
        <v>0.0427051568947495</v>
      </c>
      <c r="C43" s="7" t="s">
        <v>59</v>
      </c>
    </row>
    <row r="45" customFormat="false" ht="15" hidden="false" customHeight="true" outlineLevel="0" collapsed="false">
      <c r="A45" s="4" t="s">
        <v>60</v>
      </c>
      <c r="B45" s="4"/>
      <c r="C45" s="4"/>
    </row>
    <row r="46" customFormat="false" ht="15" hidden="false" customHeight="true" outlineLevel="0" collapsed="false">
      <c r="A46" s="5" t="s">
        <v>61</v>
      </c>
      <c r="B46" s="11" t="n">
        <f aca="false">IF(Input!$B$19=1,MIN(Input!$B$28,Input!$B$48,Input!$B$52),MIN(Input!$B$28,Input!$B$48))</f>
        <v>0</v>
      </c>
      <c r="C46" s="7" t="s">
        <v>62</v>
      </c>
    </row>
    <row r="47" customFormat="false" ht="15" hidden="false" customHeight="true" outlineLevel="0" collapsed="false">
      <c r="A47" s="5" t="s">
        <v>63</v>
      </c>
      <c r="B47" s="6" t="n">
        <v>1</v>
      </c>
      <c r="C47" s="7" t="s">
        <v>64</v>
      </c>
    </row>
    <row r="48" customFormat="false" ht="15" hidden="false" customHeight="true" outlineLevel="0" collapsed="false">
      <c r="A48" s="5" t="s">
        <v>65</v>
      </c>
      <c r="B48" s="10" t="n">
        <v>5300</v>
      </c>
      <c r="C48" s="7" t="s">
        <v>66</v>
      </c>
    </row>
    <row r="50" customFormat="false" ht="15" hidden="false" customHeight="true" outlineLevel="0" collapsed="false">
      <c r="A50" s="4" t="s">
        <v>67</v>
      </c>
      <c r="B50" s="4"/>
      <c r="C50" s="4"/>
    </row>
    <row r="51" customFormat="false" ht="15" hidden="false" customHeight="true" outlineLevel="0" collapsed="false">
      <c r="A51" s="5" t="s">
        <v>68</v>
      </c>
      <c r="B51" s="10" t="n">
        <v>122295</v>
      </c>
      <c r="C51" s="7" t="s">
        <v>69</v>
      </c>
    </row>
    <row r="52" customFormat="false" ht="15" hidden="false" customHeight="true" outlineLevel="0" collapsed="false">
      <c r="A52" s="5" t="s">
        <v>70</v>
      </c>
      <c r="B52" s="10" t="n">
        <v>0</v>
      </c>
      <c r="C52" s="7" t="s">
        <v>71</v>
      </c>
    </row>
    <row r="53" customFormat="false" ht="15" hidden="false" customHeight="true" outlineLevel="0" collapsed="false">
      <c r="A53" s="5" t="s">
        <v>72</v>
      </c>
      <c r="B53" s="10" t="n">
        <v>2000</v>
      </c>
      <c r="C53" s="7" t="s">
        <v>73</v>
      </c>
    </row>
    <row r="54" customFormat="false" ht="15" hidden="false" customHeight="true" outlineLevel="0" collapsed="false">
      <c r="A54" s="5" t="s">
        <v>74</v>
      </c>
      <c r="B54" s="9" t="n">
        <v>0.78</v>
      </c>
      <c r="C54" s="7" t="s">
        <v>75</v>
      </c>
    </row>
    <row r="55" customFormat="false" ht="15" hidden="false" customHeight="true" outlineLevel="0" collapsed="false">
      <c r="A55" s="5" t="s">
        <v>76</v>
      </c>
      <c r="B55" s="11" t="n">
        <f aca="false">Input!$B$53*12*Input!$B$54</f>
        <v>18720</v>
      </c>
      <c r="C55" s="7" t="s">
        <v>77</v>
      </c>
    </row>
  </sheetData>
  <mergeCells count="10">
    <mergeCell ref="A1:C1"/>
    <mergeCell ref="A2:C2"/>
    <mergeCell ref="A4:C4"/>
    <mergeCell ref="A9:C9"/>
    <mergeCell ref="A17:C17"/>
    <mergeCell ref="A26:C26"/>
    <mergeCell ref="A35:C35"/>
    <mergeCell ref="A41:C41"/>
    <mergeCell ref="A45:C45"/>
    <mergeCell ref="A50:C50"/>
  </mergeCells>
  <dataValidations count="2">
    <dataValidation allowBlank="true" errorStyle="stop" operator="between" showDropDown="false" showErrorMessage="false" showInputMessage="false" sqref="B11" type="list">
      <formula1>"1,2"</formula1>
      <formula2>0</formula2>
    </dataValidation>
    <dataValidation allowBlank="true" errorStyle="stop" operator="between" showDropDown="false" showErrorMessage="false" showInputMessage="false" sqref="B19" type="list">
      <formula1>"1,2"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4"/>
  </cols>
  <sheetData>
    <row r="1" customFormat="false" ht="17.35" hidden="false" customHeight="false" outlineLevel="0" collapsed="false">
      <c r="A1" s="2" t="s">
        <v>78</v>
      </c>
      <c r="B1" s="2"/>
      <c r="C1" s="2"/>
    </row>
    <row r="2" customFormat="false" ht="15" hidden="false" customHeight="false" outlineLevel="0" collapsed="false">
      <c r="A2" s="3" t="s">
        <v>79</v>
      </c>
      <c r="B2" s="3"/>
      <c r="C2" s="3"/>
    </row>
    <row r="4" customFormat="false" ht="15" hidden="false" customHeight="false" outlineLevel="0" collapsed="false">
      <c r="A4" s="15" t="s">
        <v>80</v>
      </c>
      <c r="B4" s="15" t="s">
        <v>81</v>
      </c>
      <c r="C4" s="15" t="s">
        <v>82</v>
      </c>
    </row>
    <row r="5" customFormat="false" ht="15" hidden="false" customHeight="false" outlineLevel="0" collapsed="false">
      <c r="A5" s="16" t="n">
        <v>57</v>
      </c>
      <c r="B5" s="17" t="n">
        <v>23.789</v>
      </c>
      <c r="C5" s="18" t="n">
        <v>0.04204</v>
      </c>
    </row>
    <row r="6" customFormat="false" ht="15" hidden="false" customHeight="false" outlineLevel="0" collapsed="false">
      <c r="A6" s="16" t="n">
        <v>58</v>
      </c>
      <c r="B6" s="17" t="n">
        <v>23.213</v>
      </c>
      <c r="C6" s="18" t="n">
        <v>0.04308</v>
      </c>
    </row>
    <row r="7" customFormat="false" ht="15" hidden="false" customHeight="false" outlineLevel="0" collapsed="false">
      <c r="A7" s="16" t="n">
        <v>59</v>
      </c>
      <c r="B7" s="17" t="n">
        <v>22.631</v>
      </c>
      <c r="C7" s="18" t="n">
        <v>0.04419</v>
      </c>
    </row>
    <row r="8" customFormat="false" ht="15" hidden="false" customHeight="false" outlineLevel="0" collapsed="false">
      <c r="A8" s="16" t="n">
        <v>60</v>
      </c>
      <c r="B8" s="17" t="n">
        <v>22.044</v>
      </c>
      <c r="C8" s="18" t="n">
        <v>0.04536</v>
      </c>
    </row>
    <row r="9" customFormat="false" ht="15" hidden="false" customHeight="false" outlineLevel="0" collapsed="false">
      <c r="A9" s="16" t="n">
        <v>61</v>
      </c>
      <c r="B9" s="17" t="n">
        <v>21.453</v>
      </c>
      <c r="C9" s="18" t="n">
        <v>0.04661</v>
      </c>
    </row>
    <row r="10" customFormat="false" ht="15" hidden="false" customHeight="false" outlineLevel="0" collapsed="false">
      <c r="A10" s="16" t="n">
        <v>62</v>
      </c>
      <c r="B10" s="17" t="n">
        <v>20.857</v>
      </c>
      <c r="C10" s="18" t="n">
        <v>0.04795</v>
      </c>
    </row>
    <row r="11" customFormat="false" ht="15" hidden="false" customHeight="false" outlineLevel="0" collapsed="false">
      <c r="A11" s="16" t="n">
        <v>63</v>
      </c>
      <c r="B11" s="17" t="n">
        <v>20.258</v>
      </c>
      <c r="C11" s="18" t="n">
        <v>0.04936</v>
      </c>
    </row>
    <row r="12" customFormat="false" ht="15" hidden="false" customHeight="false" outlineLevel="0" collapsed="false">
      <c r="A12" s="16" t="n">
        <v>64</v>
      </c>
      <c r="B12" s="17" t="n">
        <v>19.656</v>
      </c>
      <c r="C12" s="18" t="n">
        <v>0.05088</v>
      </c>
    </row>
    <row r="13" customFormat="false" ht="15" hidden="false" customHeight="false" outlineLevel="0" collapsed="false">
      <c r="A13" s="16" t="n">
        <v>65</v>
      </c>
      <c r="B13" s="17" t="n">
        <v>19.049</v>
      </c>
      <c r="C13" s="18" t="n">
        <v>0.0525</v>
      </c>
    </row>
    <row r="14" customFormat="false" ht="15" hidden="false" customHeight="false" outlineLevel="0" collapsed="false">
      <c r="A14" s="16" t="n">
        <v>66</v>
      </c>
      <c r="B14" s="17" t="n">
        <v>18.441</v>
      </c>
      <c r="C14" s="18" t="n">
        <v>0.05423</v>
      </c>
    </row>
    <row r="15" customFormat="false" ht="15" hidden="false" customHeight="false" outlineLevel="0" collapsed="false">
      <c r="A15" s="16" t="n">
        <v>67</v>
      </c>
      <c r="B15" s="17" t="n">
        <v>17.831</v>
      </c>
      <c r="C15" s="18" t="n">
        <v>0.05608</v>
      </c>
    </row>
    <row r="16" customFormat="false" ht="15" hidden="false" customHeight="false" outlineLevel="0" collapsed="false">
      <c r="A16" s="16" t="n">
        <v>68</v>
      </c>
      <c r="B16" s="17" t="n">
        <v>17.218</v>
      </c>
      <c r="C16" s="18" t="n">
        <v>0.05808</v>
      </c>
    </row>
    <row r="17" customFormat="false" ht="15" hidden="false" customHeight="false" outlineLevel="0" collapsed="false">
      <c r="A17" s="16" t="n">
        <v>69</v>
      </c>
      <c r="B17" s="17" t="n">
        <v>16.6</v>
      </c>
      <c r="C17" s="18" t="n">
        <v>0.06024</v>
      </c>
    </row>
    <row r="18" customFormat="false" ht="15" hidden="false" customHeight="false" outlineLevel="0" collapsed="false">
      <c r="A18" s="16" t="n">
        <v>70</v>
      </c>
      <c r="B18" s="17" t="n">
        <v>15.98</v>
      </c>
      <c r="C18" s="18" t="n">
        <v>0.06258</v>
      </c>
    </row>
    <row r="19" customFormat="false" ht="15" hidden="false" customHeight="false" outlineLevel="0" collapsed="false">
      <c r="A19" s="16" t="n">
        <v>71</v>
      </c>
      <c r="B19" s="17" t="n">
        <v>15.36</v>
      </c>
      <c r="C19" s="18" t="n">
        <v>0.0651</v>
      </c>
    </row>
    <row r="22" customFormat="false" ht="15" hidden="false" customHeight="false" outlineLevel="0" collapsed="false">
      <c r="A22" s="19" t="s">
        <v>83</v>
      </c>
    </row>
    <row r="23" customFormat="false" ht="15" hidden="false" customHeight="false" outlineLevel="0" collapsed="false">
      <c r="A23" s="20" t="s">
        <v>84</v>
      </c>
      <c r="B23" s="20"/>
      <c r="C23" s="20"/>
      <c r="D23" s="20"/>
    </row>
    <row r="24" customFormat="false" ht="15" hidden="false" customHeight="false" outlineLevel="0" collapsed="false">
      <c r="A24" s="20" t="s">
        <v>85</v>
      </c>
      <c r="B24" s="20"/>
      <c r="C24" s="20"/>
      <c r="D24" s="20"/>
    </row>
    <row r="25" customFormat="false" ht="15" hidden="false" customHeight="false" outlineLevel="0" collapsed="false">
      <c r="A25" s="20" t="s">
        <v>86</v>
      </c>
      <c r="B25" s="20"/>
      <c r="C25" s="20"/>
      <c r="D25" s="20"/>
    </row>
    <row r="26" customFormat="false" ht="15" hidden="false" customHeight="false" outlineLevel="0" collapsed="false">
      <c r="A26" s="20" t="s">
        <v>87</v>
      </c>
      <c r="B26" s="20"/>
      <c r="C26" s="20"/>
      <c r="D26" s="20"/>
    </row>
  </sheetData>
  <mergeCells count="6">
    <mergeCell ref="A1:C1"/>
    <mergeCell ref="A2:C2"/>
    <mergeCell ref="A23:D23"/>
    <mergeCell ref="A24:D24"/>
    <mergeCell ref="A25:D25"/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8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16"/>
  </cols>
  <sheetData>
    <row r="1" customFormat="false" ht="17.35" hidden="false" customHeight="false" outlineLevel="0" collapsed="false">
      <c r="A1" s="2" t="s">
        <v>88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89</v>
      </c>
      <c r="B2" s="3"/>
      <c r="C2" s="3"/>
      <c r="D2" s="3"/>
      <c r="E2" s="3"/>
      <c r="F2" s="3"/>
      <c r="G2" s="3"/>
    </row>
    <row r="4" customFormat="false" ht="15" hidden="false" customHeight="false" outlineLevel="0" collapsed="false">
      <c r="A4" s="15" t="s">
        <v>90</v>
      </c>
      <c r="B4" s="15" t="s">
        <v>80</v>
      </c>
      <c r="C4" s="15" t="s">
        <v>91</v>
      </c>
      <c r="D4" s="15" t="s">
        <v>92</v>
      </c>
      <c r="E4" s="15" t="s">
        <v>93</v>
      </c>
      <c r="F4" s="15" t="s">
        <v>94</v>
      </c>
      <c r="G4" s="15" t="s">
        <v>95</v>
      </c>
    </row>
    <row r="5" customFormat="false" ht="15" hidden="false" customHeight="false" outlineLevel="0" collapsed="false">
      <c r="A5" s="21" t="n">
        <v>0</v>
      </c>
      <c r="B5" s="22" t="n">
        <f aca="false">Input!$B$5+A5</f>
        <v>37</v>
      </c>
      <c r="C5" s="23" t="n">
        <f aca="false">IF(B5&lt;Input!$B$6,Input!$B$23*(1+Input!$B$24)^A5,0)</f>
        <v>31200</v>
      </c>
      <c r="D5" s="23" t="n">
        <f aca="false">MIN(C5,Input!$B$51)*Input!$B$12</f>
        <v>8133.84</v>
      </c>
      <c r="E5" s="24" t="n">
        <f aca="false">Input!$B$13</f>
        <v>25000</v>
      </c>
      <c r="F5" s="23" t="n">
        <f aca="false">E5*Input!$B$14</f>
        <v>125</v>
      </c>
      <c r="G5" s="23" t="n">
        <f aca="false">IF(B5&lt;Input!$B$6,E5+D5+F5,E5)</f>
        <v>33258.84</v>
      </c>
    </row>
    <row r="6" customFormat="false" ht="15" hidden="false" customHeight="false" outlineLevel="0" collapsed="false">
      <c r="A6" s="21" t="n">
        <v>1</v>
      </c>
      <c r="B6" s="22" t="n">
        <f aca="false">Input!$B$5+A6</f>
        <v>38</v>
      </c>
      <c r="C6" s="23" t="n">
        <f aca="false">IF(B6&lt;Input!$B$6,Input!$B$23*(1+Input!$B$24)^A6,0)</f>
        <v>31512</v>
      </c>
      <c r="D6" s="23" t="n">
        <f aca="false">MIN(C6,Input!$B$51)*Input!$B$12</f>
        <v>8215.1784</v>
      </c>
      <c r="E6" s="23" t="n">
        <f aca="false">G5</f>
        <v>33258.84</v>
      </c>
      <c r="F6" s="23" t="n">
        <f aca="false">E6*Input!$B$14</f>
        <v>166.2942</v>
      </c>
      <c r="G6" s="23" t="n">
        <f aca="false">IF(B6&lt;Input!$B$6,E6+D6+F6,E6)</f>
        <v>41640.3126</v>
      </c>
    </row>
    <row r="7" customFormat="false" ht="15" hidden="false" customHeight="false" outlineLevel="0" collapsed="false">
      <c r="A7" s="21" t="n">
        <v>2</v>
      </c>
      <c r="B7" s="22" t="n">
        <f aca="false">Input!$B$5+A7</f>
        <v>39</v>
      </c>
      <c r="C7" s="23" t="n">
        <f aca="false">IF(B7&lt;Input!$B$6,Input!$B$23*(1+Input!$B$24)^A7,0)</f>
        <v>31827.12</v>
      </c>
      <c r="D7" s="23" t="n">
        <f aca="false">MIN(C7,Input!$B$51)*Input!$B$12</f>
        <v>8297.330184</v>
      </c>
      <c r="E7" s="23" t="n">
        <f aca="false">G6</f>
        <v>41640.3126</v>
      </c>
      <c r="F7" s="23" t="n">
        <f aca="false">E7*Input!$B$14</f>
        <v>208.201563</v>
      </c>
      <c r="G7" s="23" t="n">
        <f aca="false">IF(B7&lt;Input!$B$6,E7+D7+F7,E7)</f>
        <v>50145.844347</v>
      </c>
    </row>
    <row r="8" customFormat="false" ht="15" hidden="false" customHeight="false" outlineLevel="0" collapsed="false">
      <c r="A8" s="21" t="n">
        <v>3</v>
      </c>
      <c r="B8" s="22" t="n">
        <f aca="false">Input!$B$5+A8</f>
        <v>40</v>
      </c>
      <c r="C8" s="23" t="n">
        <f aca="false">IF(B8&lt;Input!$B$6,Input!$B$23*(1+Input!$B$24)^A8,0)</f>
        <v>32145.3912</v>
      </c>
      <c r="D8" s="23" t="n">
        <f aca="false">MIN(C8,Input!$B$51)*Input!$B$12</f>
        <v>8380.30348584</v>
      </c>
      <c r="E8" s="23" t="n">
        <f aca="false">G7</f>
        <v>50145.844347</v>
      </c>
      <c r="F8" s="23" t="n">
        <f aca="false">E8*Input!$B$14</f>
        <v>250.729221735</v>
      </c>
      <c r="G8" s="23" t="n">
        <f aca="false">IF(B8&lt;Input!$B$6,E8+D8+F8,E8)</f>
        <v>58776.877054575</v>
      </c>
    </row>
    <row r="9" customFormat="false" ht="15" hidden="false" customHeight="false" outlineLevel="0" collapsed="false">
      <c r="A9" s="21" t="n">
        <v>4</v>
      </c>
      <c r="B9" s="22" t="n">
        <f aca="false">Input!$B$5+A9</f>
        <v>41</v>
      </c>
      <c r="C9" s="23" t="n">
        <f aca="false">IF(B9&lt;Input!$B$6,Input!$B$23*(1+Input!$B$24)^A9,0)</f>
        <v>32466.845112</v>
      </c>
      <c r="D9" s="23" t="n">
        <f aca="false">MIN(C9,Input!$B$51)*Input!$B$12</f>
        <v>8464.1065206984</v>
      </c>
      <c r="E9" s="23" t="n">
        <f aca="false">G8</f>
        <v>58776.877054575</v>
      </c>
      <c r="F9" s="23" t="n">
        <f aca="false">E9*Input!$B$14</f>
        <v>293.884385272875</v>
      </c>
      <c r="G9" s="23" t="n">
        <f aca="false">IF(B9&lt;Input!$B$6,E9+D9+F9,E9)</f>
        <v>67534.8679605463</v>
      </c>
    </row>
    <row r="10" customFormat="false" ht="15" hidden="false" customHeight="false" outlineLevel="0" collapsed="false">
      <c r="A10" s="21" t="n">
        <v>5</v>
      </c>
      <c r="B10" s="22" t="n">
        <f aca="false">Input!$B$5+A10</f>
        <v>42</v>
      </c>
      <c r="C10" s="23" t="n">
        <f aca="false">IF(B10&lt;Input!$B$6,Input!$B$23*(1+Input!$B$24)^A10,0)</f>
        <v>32791.51356312</v>
      </c>
      <c r="D10" s="23" t="n">
        <f aca="false">MIN(C10,Input!$B$51)*Input!$B$12</f>
        <v>8548.74758590539</v>
      </c>
      <c r="E10" s="23" t="n">
        <f aca="false">G9</f>
        <v>67534.8679605463</v>
      </c>
      <c r="F10" s="23" t="n">
        <f aca="false">E10*Input!$B$14</f>
        <v>337.674339802731</v>
      </c>
      <c r="G10" s="23" t="n">
        <f aca="false">IF(B10&lt;Input!$B$6,E10+D10+F10,E10)</f>
        <v>76421.2898862544</v>
      </c>
    </row>
    <row r="11" customFormat="false" ht="15" hidden="false" customHeight="false" outlineLevel="0" collapsed="false">
      <c r="A11" s="21" t="n">
        <v>6</v>
      </c>
      <c r="B11" s="22" t="n">
        <f aca="false">Input!$B$5+A11</f>
        <v>43</v>
      </c>
      <c r="C11" s="23" t="n">
        <f aca="false">IF(B11&lt;Input!$B$6,Input!$B$23*(1+Input!$B$24)^A11,0)</f>
        <v>33119.4286987512</v>
      </c>
      <c r="D11" s="23" t="n">
        <f aca="false">MIN(C11,Input!$B$51)*Input!$B$12</f>
        <v>8634.23506176444</v>
      </c>
      <c r="E11" s="23" t="n">
        <f aca="false">G10</f>
        <v>76421.2898862544</v>
      </c>
      <c r="F11" s="23" t="n">
        <f aca="false">E11*Input!$B$14</f>
        <v>382.106449431272</v>
      </c>
      <c r="G11" s="23" t="n">
        <f aca="false">IF(B11&lt;Input!$B$6,E11+D11+F11,E11)</f>
        <v>85437.6313974501</v>
      </c>
    </row>
    <row r="12" customFormat="false" ht="15" hidden="false" customHeight="false" outlineLevel="0" collapsed="false">
      <c r="A12" s="21" t="n">
        <v>7</v>
      </c>
      <c r="B12" s="22" t="n">
        <f aca="false">Input!$B$5+A12</f>
        <v>44</v>
      </c>
      <c r="C12" s="23" t="n">
        <f aca="false">IF(B12&lt;Input!$B$6,Input!$B$23*(1+Input!$B$24)^A12,0)</f>
        <v>33450.6229857387</v>
      </c>
      <c r="D12" s="23" t="n">
        <f aca="false">MIN(C12,Input!$B$51)*Input!$B$12</f>
        <v>8720.57741238208</v>
      </c>
      <c r="E12" s="23" t="n">
        <f aca="false">G11</f>
        <v>85437.6313974501</v>
      </c>
      <c r="F12" s="23" t="n">
        <f aca="false">E12*Input!$B$14</f>
        <v>427.18815698725</v>
      </c>
      <c r="G12" s="23" t="n">
        <f aca="false">IF(B12&lt;Input!$B$6,E12+D12+F12,E12)</f>
        <v>94585.3969668194</v>
      </c>
    </row>
    <row r="13" customFormat="false" ht="15" hidden="false" customHeight="false" outlineLevel="0" collapsed="false">
      <c r="A13" s="21" t="n">
        <v>8</v>
      </c>
      <c r="B13" s="22" t="n">
        <f aca="false">Input!$B$5+A13</f>
        <v>45</v>
      </c>
      <c r="C13" s="23" t="n">
        <f aca="false">IF(B13&lt;Input!$B$6,Input!$B$23*(1+Input!$B$24)^A13,0)</f>
        <v>33785.1292155961</v>
      </c>
      <c r="D13" s="23" t="n">
        <f aca="false">MIN(C13,Input!$B$51)*Input!$B$12</f>
        <v>8807.78318650591</v>
      </c>
      <c r="E13" s="23" t="n">
        <f aca="false">G12</f>
        <v>94585.3969668194</v>
      </c>
      <c r="F13" s="23" t="n">
        <f aca="false">E13*Input!$B$14</f>
        <v>472.926984834097</v>
      </c>
      <c r="G13" s="23" t="n">
        <f aca="false">IF(B13&lt;Input!$B$6,E13+D13+F13,E13)</f>
        <v>103866.107138159</v>
      </c>
    </row>
    <row r="14" customFormat="false" ht="15" hidden="false" customHeight="false" outlineLevel="0" collapsed="false">
      <c r="A14" s="21" t="n">
        <v>9</v>
      </c>
      <c r="B14" s="22" t="n">
        <f aca="false">Input!$B$5+A14</f>
        <v>46</v>
      </c>
      <c r="C14" s="23" t="n">
        <f aca="false">IF(B14&lt;Input!$B$6,Input!$B$23*(1+Input!$B$24)^A14,0)</f>
        <v>34122.9805077521</v>
      </c>
      <c r="D14" s="23" t="n">
        <f aca="false">MIN(C14,Input!$B$51)*Input!$B$12</f>
        <v>8895.86101837096</v>
      </c>
      <c r="E14" s="23" t="n">
        <f aca="false">G13</f>
        <v>103866.107138159</v>
      </c>
      <c r="F14" s="23" t="n">
        <f aca="false">E14*Input!$B$14</f>
        <v>519.330535690797</v>
      </c>
      <c r="G14" s="23" t="n">
        <f aca="false">IF(B14&lt;Input!$B$6,E14+D14+F14,E14)</f>
        <v>113281.298692221</v>
      </c>
    </row>
    <row r="15" customFormat="false" ht="15" hidden="false" customHeight="false" outlineLevel="0" collapsed="false">
      <c r="A15" s="21" t="n">
        <v>10</v>
      </c>
      <c r="B15" s="22" t="n">
        <f aca="false">Input!$B$5+A15</f>
        <v>47</v>
      </c>
      <c r="C15" s="23" t="n">
        <f aca="false">IF(B15&lt;Input!$B$6,Input!$B$23*(1+Input!$B$24)^A15,0)</f>
        <v>34464.2103128296</v>
      </c>
      <c r="D15" s="23" t="n">
        <f aca="false">MIN(C15,Input!$B$51)*Input!$B$12</f>
        <v>8984.81962855467</v>
      </c>
      <c r="E15" s="23" t="n">
        <f aca="false">G14</f>
        <v>113281.298692221</v>
      </c>
      <c r="F15" s="23" t="n">
        <f aca="false">E15*Input!$B$14</f>
        <v>566.406493461106</v>
      </c>
      <c r="G15" s="23" t="n">
        <f aca="false">IF(B15&lt;Input!$B$6,E15+D15+F15,E15)</f>
        <v>122832.524814237</v>
      </c>
    </row>
    <row r="16" customFormat="false" ht="15" hidden="false" customHeight="false" outlineLevel="0" collapsed="false">
      <c r="A16" s="21" t="n">
        <v>11</v>
      </c>
      <c r="B16" s="22" t="n">
        <f aca="false">Input!$B$5+A16</f>
        <v>48</v>
      </c>
      <c r="C16" s="23" t="n">
        <f aca="false">IF(B16&lt;Input!$B$6,Input!$B$23*(1+Input!$B$24)^A16,0)</f>
        <v>34808.8524159579</v>
      </c>
      <c r="D16" s="23" t="n">
        <f aca="false">MIN(C16,Input!$B$51)*Input!$B$12</f>
        <v>9074.66782484022</v>
      </c>
      <c r="E16" s="23" t="n">
        <f aca="false">G15</f>
        <v>122832.524814237</v>
      </c>
      <c r="F16" s="23" t="n">
        <f aca="false">E16*Input!$B$14</f>
        <v>614.162624071185</v>
      </c>
      <c r="G16" s="23" t="n">
        <f aca="false">IF(B16&lt;Input!$B$6,E16+D16+F16,E16)</f>
        <v>132521.355263148</v>
      </c>
    </row>
    <row r="17" customFormat="false" ht="15" hidden="false" customHeight="false" outlineLevel="0" collapsed="false">
      <c r="A17" s="21" t="n">
        <v>12</v>
      </c>
      <c r="B17" s="22" t="n">
        <f aca="false">Input!$B$5+A17</f>
        <v>49</v>
      </c>
      <c r="C17" s="23" t="n">
        <f aca="false">IF(B17&lt;Input!$B$6,Input!$B$23*(1+Input!$B$24)^A17,0)</f>
        <v>35156.9409401175</v>
      </c>
      <c r="D17" s="23" t="n">
        <f aca="false">MIN(C17,Input!$B$51)*Input!$B$12</f>
        <v>9165.41450308862</v>
      </c>
      <c r="E17" s="23" t="n">
        <f aca="false">G16</f>
        <v>132521.355263148</v>
      </c>
      <c r="F17" s="23" t="n">
        <f aca="false">E17*Input!$B$14</f>
        <v>662.606776315742</v>
      </c>
      <c r="G17" s="23" t="n">
        <f aca="false">IF(B17&lt;Input!$B$6,E17+D17+F17,E17)</f>
        <v>142349.376542553</v>
      </c>
    </row>
    <row r="18" customFormat="false" ht="15" hidden="false" customHeight="false" outlineLevel="0" collapsed="false">
      <c r="A18" s="21" t="n">
        <v>13</v>
      </c>
      <c r="B18" s="22" t="n">
        <f aca="false">Input!$B$5+A18</f>
        <v>50</v>
      </c>
      <c r="C18" s="23" t="n">
        <f aca="false">IF(B18&lt;Input!$B$6,Input!$B$23*(1+Input!$B$24)^A18,0)</f>
        <v>35508.5103495186</v>
      </c>
      <c r="D18" s="23" t="n">
        <f aca="false">MIN(C18,Input!$B$51)*Input!$B$12</f>
        <v>9257.06864811951</v>
      </c>
      <c r="E18" s="23" t="n">
        <f aca="false">G17</f>
        <v>142349.376542553</v>
      </c>
      <c r="F18" s="23" t="n">
        <f aca="false">E18*Input!$B$14</f>
        <v>711.746882712764</v>
      </c>
      <c r="G18" s="23" t="n">
        <f aca="false">IF(B18&lt;Input!$B$6,E18+D18+F18,E18)</f>
        <v>152318.192073385</v>
      </c>
    </row>
    <row r="19" customFormat="false" ht="15" hidden="false" customHeight="false" outlineLevel="0" collapsed="false">
      <c r="A19" s="21" t="n">
        <v>14</v>
      </c>
      <c r="B19" s="22" t="n">
        <f aca="false">Input!$B$5+A19</f>
        <v>51</v>
      </c>
      <c r="C19" s="23" t="n">
        <f aca="false">IF(B19&lt;Input!$B$6,Input!$B$23*(1+Input!$B$24)^A19,0)</f>
        <v>35863.5954530138</v>
      </c>
      <c r="D19" s="23" t="n">
        <f aca="false">MIN(C19,Input!$B$51)*Input!$B$12</f>
        <v>9349.6393346007</v>
      </c>
      <c r="E19" s="23" t="n">
        <f aca="false">G18</f>
        <v>152318.192073385</v>
      </c>
      <c r="F19" s="23" t="n">
        <f aca="false">E19*Input!$B$14</f>
        <v>761.590960366925</v>
      </c>
      <c r="G19" s="23" t="n">
        <f aca="false">IF(B19&lt;Input!$B$6,E19+D19+F19,E19)</f>
        <v>162429.422368353</v>
      </c>
    </row>
    <row r="20" customFormat="false" ht="15" hidden="false" customHeight="false" outlineLevel="0" collapsed="false">
      <c r="A20" s="21" t="n">
        <v>15</v>
      </c>
      <c r="B20" s="22" t="n">
        <f aca="false">Input!$B$5+A20</f>
        <v>52</v>
      </c>
      <c r="C20" s="23" t="n">
        <f aca="false">IF(B20&lt;Input!$B$6,Input!$B$23*(1+Input!$B$24)^A20,0)</f>
        <v>36222.231407544</v>
      </c>
      <c r="D20" s="23" t="n">
        <f aca="false">MIN(C20,Input!$B$51)*Input!$B$12</f>
        <v>9443.13572794671</v>
      </c>
      <c r="E20" s="23" t="n">
        <f aca="false">G19</f>
        <v>162429.422368353</v>
      </c>
      <c r="F20" s="23" t="n">
        <f aca="false">E20*Input!$B$14</f>
        <v>812.147111841763</v>
      </c>
      <c r="G20" s="23" t="n">
        <f aca="false">IF(B20&lt;Input!$B$6,E20+D20+F20,E20)</f>
        <v>172684.705208141</v>
      </c>
    </row>
    <row r="21" customFormat="false" ht="15" hidden="false" customHeight="false" outlineLevel="0" collapsed="false">
      <c r="A21" s="21" t="n">
        <v>16</v>
      </c>
      <c r="B21" s="22" t="n">
        <f aca="false">Input!$B$5+A21</f>
        <v>53</v>
      </c>
      <c r="C21" s="23" t="n">
        <f aca="false">IF(B21&lt;Input!$B$6,Input!$B$23*(1+Input!$B$24)^A21,0)</f>
        <v>36584.4537216194</v>
      </c>
      <c r="D21" s="23" t="n">
        <f aca="false">MIN(C21,Input!$B$51)*Input!$B$12</f>
        <v>9537.56708522618</v>
      </c>
      <c r="E21" s="23" t="n">
        <f aca="false">G20</f>
        <v>172684.705208141</v>
      </c>
      <c r="F21" s="23" t="n">
        <f aca="false">E21*Input!$B$14</f>
        <v>863.423526040706</v>
      </c>
      <c r="G21" s="23" t="n">
        <f aca="false">IF(B21&lt;Input!$B$6,E21+D21+F21,E21)</f>
        <v>183085.695819408</v>
      </c>
    </row>
    <row r="22" customFormat="false" ht="15" hidden="false" customHeight="false" outlineLevel="0" collapsed="false">
      <c r="A22" s="21" t="n">
        <v>17</v>
      </c>
      <c r="B22" s="22" t="n">
        <f aca="false">Input!$B$5+A22</f>
        <v>54</v>
      </c>
      <c r="C22" s="23" t="n">
        <f aca="false">IF(B22&lt;Input!$B$6,Input!$B$23*(1+Input!$B$24)^A22,0)</f>
        <v>36950.2982588356</v>
      </c>
      <c r="D22" s="23" t="n">
        <f aca="false">MIN(C22,Input!$B$51)*Input!$B$12</f>
        <v>9632.94275607844</v>
      </c>
      <c r="E22" s="23" t="n">
        <f aca="false">G21</f>
        <v>183085.695819408</v>
      </c>
      <c r="F22" s="23" t="n">
        <f aca="false">E22*Input!$B$14</f>
        <v>915.42847909704</v>
      </c>
      <c r="G22" s="23" t="n">
        <f aca="false">IF(B22&lt;Input!$B$6,E22+D22+F22,E22)</f>
        <v>193634.067054584</v>
      </c>
    </row>
    <row r="23" customFormat="false" ht="15" hidden="false" customHeight="false" outlineLevel="0" collapsed="false">
      <c r="A23" s="21" t="n">
        <v>18</v>
      </c>
      <c r="B23" s="22" t="n">
        <f aca="false">Input!$B$5+A23</f>
        <v>55</v>
      </c>
      <c r="C23" s="23" t="n">
        <f aca="false">IF(B23&lt;Input!$B$6,Input!$B$23*(1+Input!$B$24)^A23,0)</f>
        <v>37319.801241424</v>
      </c>
      <c r="D23" s="23" t="n">
        <f aca="false">MIN(C23,Input!$B$51)*Input!$B$12</f>
        <v>9729.27218363922</v>
      </c>
      <c r="E23" s="23" t="n">
        <f aca="false">G22</f>
        <v>193634.067054584</v>
      </c>
      <c r="F23" s="23" t="n">
        <f aca="false">E23*Input!$B$14</f>
        <v>968.170335272917</v>
      </c>
      <c r="G23" s="23" t="n">
        <f aca="false">IF(B23&lt;Input!$B$6,E23+D23+F23,E23)</f>
        <v>204331.509573496</v>
      </c>
    </row>
    <row r="24" customFormat="false" ht="15" hidden="false" customHeight="false" outlineLevel="0" collapsed="false">
      <c r="A24" s="21" t="n">
        <v>19</v>
      </c>
      <c r="B24" s="22" t="n">
        <f aca="false">Input!$B$5+A24</f>
        <v>56</v>
      </c>
      <c r="C24" s="23" t="n">
        <f aca="false">IF(B24&lt;Input!$B$6,Input!$B$23*(1+Input!$B$24)^A24,0)</f>
        <v>37692.9992538382</v>
      </c>
      <c r="D24" s="23" t="n">
        <f aca="false">MIN(C24,Input!$B$51)*Input!$B$12</f>
        <v>9826.56490547561</v>
      </c>
      <c r="E24" s="23" t="n">
        <f aca="false">G23</f>
        <v>204331.509573496</v>
      </c>
      <c r="F24" s="23" t="n">
        <f aca="false">E24*Input!$B$14</f>
        <v>1021.65754786748</v>
      </c>
      <c r="G24" s="23" t="n">
        <f aca="false">IF(B24&lt;Input!$B$6,E24+D24+F24,E24)</f>
        <v>215179.732026839</v>
      </c>
    </row>
    <row r="25" customFormat="false" ht="15" hidden="false" customHeight="false" outlineLevel="0" collapsed="false">
      <c r="A25" s="21" t="n">
        <v>20</v>
      </c>
      <c r="B25" s="22" t="n">
        <f aca="false">Input!$B$5+A25</f>
        <v>57</v>
      </c>
      <c r="C25" s="23" t="n">
        <f aca="false">IF(B25&lt;Input!$B$6,Input!$B$23*(1+Input!$B$24)^A25,0)</f>
        <v>38069.9292463766</v>
      </c>
      <c r="D25" s="23" t="n">
        <f aca="false">MIN(C25,Input!$B$51)*Input!$B$12</f>
        <v>9924.83055453037</v>
      </c>
      <c r="E25" s="23" t="n">
        <f aca="false">G24</f>
        <v>215179.732026839</v>
      </c>
      <c r="F25" s="23" t="n">
        <f aca="false">E25*Input!$B$14</f>
        <v>1075.89866013419</v>
      </c>
      <c r="G25" s="23" t="n">
        <f aca="false">IF(B25&lt;Input!$B$6,E25+D25+F25,E25)</f>
        <v>226180.461241503</v>
      </c>
    </row>
    <row r="26" customFormat="false" ht="15" hidden="false" customHeight="false" outlineLevel="0" collapsed="false">
      <c r="A26" s="21" t="n">
        <v>21</v>
      </c>
      <c r="B26" s="22" t="n">
        <f aca="false">Input!$B$5+A26</f>
        <v>58</v>
      </c>
      <c r="C26" s="23" t="n">
        <f aca="false">IF(B26&lt;Input!$B$6,Input!$B$23*(1+Input!$B$24)^A26,0)</f>
        <v>38450.6285388403</v>
      </c>
      <c r="D26" s="23" t="n">
        <f aca="false">MIN(C26,Input!$B$51)*Input!$B$12</f>
        <v>10024.0788600757</v>
      </c>
      <c r="E26" s="23" t="n">
        <f aca="false">G25</f>
        <v>226180.461241503</v>
      </c>
      <c r="F26" s="23" t="n">
        <f aca="false">E26*Input!$B$14</f>
        <v>1130.90230620752</v>
      </c>
      <c r="G26" s="23" t="n">
        <f aca="false">IF(B26&lt;Input!$B$6,E26+D26+F26,E26)</f>
        <v>237335.442407787</v>
      </c>
    </row>
    <row r="27" customFormat="false" ht="15" hidden="false" customHeight="false" outlineLevel="0" collapsed="false">
      <c r="A27" s="21" t="n">
        <v>22</v>
      </c>
      <c r="B27" s="22" t="n">
        <f aca="false">Input!$B$5+A27</f>
        <v>59</v>
      </c>
      <c r="C27" s="23" t="n">
        <f aca="false">IF(B27&lt;Input!$B$6,Input!$B$23*(1+Input!$B$24)^A27,0)</f>
        <v>38835.1348242287</v>
      </c>
      <c r="D27" s="23" t="n">
        <f aca="false">MIN(C27,Input!$B$51)*Input!$B$12</f>
        <v>10124.3196486764</v>
      </c>
      <c r="E27" s="23" t="n">
        <f aca="false">G26</f>
        <v>237335.442407787</v>
      </c>
      <c r="F27" s="23" t="n">
        <f aca="false">E27*Input!$B$14</f>
        <v>1186.67721203893</v>
      </c>
      <c r="G27" s="23" t="n">
        <f aca="false">IF(B27&lt;Input!$B$6,E27+D27+F27,E27)</f>
        <v>248646.439268502</v>
      </c>
    </row>
    <row r="28" customFormat="false" ht="15" hidden="false" customHeight="false" outlineLevel="0" collapsed="false">
      <c r="A28" s="21" t="n">
        <v>23</v>
      </c>
      <c r="B28" s="22" t="n">
        <f aca="false">Input!$B$5+A28</f>
        <v>60</v>
      </c>
      <c r="C28" s="23" t="n">
        <f aca="false">IF(B28&lt;Input!$B$6,Input!$B$23*(1+Input!$B$24)^A28,0)</f>
        <v>39223.486172471</v>
      </c>
      <c r="D28" s="23" t="n">
        <f aca="false">MIN(C28,Input!$B$51)*Input!$B$12</f>
        <v>10225.5628451632</v>
      </c>
      <c r="E28" s="23" t="n">
        <f aca="false">G27</f>
        <v>248646.439268502</v>
      </c>
      <c r="F28" s="23" t="n">
        <f aca="false">E28*Input!$B$14</f>
        <v>1243.23219634251</v>
      </c>
      <c r="G28" s="23" t="n">
        <f aca="false">IF(B28&lt;Input!$B$6,E28+D28+F28,E28)</f>
        <v>260115.234310008</v>
      </c>
    </row>
    <row r="29" customFormat="false" ht="15" hidden="false" customHeight="false" outlineLevel="0" collapsed="false">
      <c r="A29" s="21" t="n">
        <v>24</v>
      </c>
      <c r="B29" s="22" t="n">
        <f aca="false">Input!$B$5+A29</f>
        <v>61</v>
      </c>
      <c r="C29" s="23" t="n">
        <f aca="false">IF(B29&lt;Input!$B$6,Input!$B$23*(1+Input!$B$24)^A29,0)</f>
        <v>39615.7210341957</v>
      </c>
      <c r="D29" s="23" t="n">
        <f aca="false">MIN(C29,Input!$B$51)*Input!$B$12</f>
        <v>10327.8184736148</v>
      </c>
      <c r="E29" s="23" t="n">
        <f aca="false">G28</f>
        <v>260115.234310008</v>
      </c>
      <c r="F29" s="23" t="n">
        <f aca="false">E29*Input!$B$14</f>
        <v>1300.57617155004</v>
      </c>
      <c r="G29" s="23" t="n">
        <f aca="false">IF(B29&lt;Input!$B$6,E29+D29+F29,E29)</f>
        <v>271743.628955172</v>
      </c>
    </row>
    <row r="30" customFormat="false" ht="15" hidden="false" customHeight="false" outlineLevel="0" collapsed="false">
      <c r="A30" s="21" t="n">
        <v>25</v>
      </c>
      <c r="B30" s="22" t="n">
        <f aca="false">Input!$B$5+A30</f>
        <v>62</v>
      </c>
      <c r="C30" s="23" t="n">
        <f aca="false">IF(B30&lt;Input!$B$6,Input!$B$23*(1+Input!$B$24)^A30,0)</f>
        <v>40011.8782445377</v>
      </c>
      <c r="D30" s="23" t="n">
        <f aca="false">MIN(C30,Input!$B$51)*Input!$B$12</f>
        <v>10431.096658351</v>
      </c>
      <c r="E30" s="23" t="n">
        <f aca="false">G29</f>
        <v>271743.628955172</v>
      </c>
      <c r="F30" s="23" t="n">
        <f aca="false">E30*Input!$B$14</f>
        <v>1358.71814477586</v>
      </c>
      <c r="G30" s="23" t="n">
        <f aca="false">IF(B30&lt;Input!$B$6,E30+D30+F30,E30)</f>
        <v>283533.443758299</v>
      </c>
    </row>
    <row r="31" customFormat="false" ht="15" hidden="false" customHeight="false" outlineLevel="0" collapsed="false">
      <c r="A31" s="21" t="n">
        <v>26</v>
      </c>
      <c r="B31" s="22" t="n">
        <f aca="false">Input!$B$5+A31</f>
        <v>63</v>
      </c>
      <c r="C31" s="23" t="n">
        <f aca="false">IF(B31&lt;Input!$B$6,Input!$B$23*(1+Input!$B$24)^A31,0)</f>
        <v>40411.9970269831</v>
      </c>
      <c r="D31" s="23" t="n">
        <f aca="false">MIN(C31,Input!$B$51)*Input!$B$12</f>
        <v>10535.4076249345</v>
      </c>
      <c r="E31" s="23" t="n">
        <f aca="false">G30</f>
        <v>283533.443758299</v>
      </c>
      <c r="F31" s="23" t="n">
        <f aca="false">E31*Input!$B$14</f>
        <v>1417.6672187915</v>
      </c>
      <c r="G31" s="23" t="n">
        <f aca="false">IF(B31&lt;Input!$B$6,E31+D31+F31,E31)</f>
        <v>295486.518602025</v>
      </c>
    </row>
    <row r="32" customFormat="false" ht="15" hidden="false" customHeight="false" outlineLevel="0" collapsed="false">
      <c r="A32" s="21" t="n">
        <v>27</v>
      </c>
      <c r="B32" s="22" t="n">
        <f aca="false">Input!$B$5+A32</f>
        <v>64</v>
      </c>
      <c r="C32" s="23" t="n">
        <f aca="false">IF(B32&lt;Input!$B$6,Input!$B$23*(1+Input!$B$24)^A32,0)</f>
        <v>40816.1169972529</v>
      </c>
      <c r="D32" s="23" t="n">
        <f aca="false">MIN(C32,Input!$B$51)*Input!$B$12</f>
        <v>10640.7617011838</v>
      </c>
      <c r="E32" s="23" t="n">
        <f aca="false">G31</f>
        <v>295486.518602025</v>
      </c>
      <c r="F32" s="23" t="n">
        <f aca="false">E32*Input!$B$14</f>
        <v>1477.43259301013</v>
      </c>
      <c r="G32" s="23" t="n">
        <f aca="false">IF(B32&lt;Input!$B$6,E32+D32+F32,E32)</f>
        <v>307604.712896219</v>
      </c>
    </row>
    <row r="33" customFormat="false" ht="15" hidden="false" customHeight="false" outlineLevel="0" collapsed="false">
      <c r="A33" s="21" t="n">
        <v>28</v>
      </c>
      <c r="B33" s="22" t="n">
        <f aca="false">Input!$B$5+A33</f>
        <v>65</v>
      </c>
      <c r="C33" s="23" t="n">
        <f aca="false">IF(B33&lt;Input!$B$6,Input!$B$23*(1+Input!$B$24)^A33,0)</f>
        <v>41224.2781672254</v>
      </c>
      <c r="D33" s="23" t="n">
        <f aca="false">MIN(C33,Input!$B$51)*Input!$B$12</f>
        <v>10747.1693181957</v>
      </c>
      <c r="E33" s="23" t="n">
        <f aca="false">G32</f>
        <v>307604.712896219</v>
      </c>
      <c r="F33" s="23" t="n">
        <f aca="false">E33*Input!$B$14</f>
        <v>1538.0235644811</v>
      </c>
      <c r="G33" s="23" t="n">
        <f aca="false">IF(B33&lt;Input!$B$6,E33+D33+F33,E33)</f>
        <v>319889.905778896</v>
      </c>
    </row>
    <row r="34" customFormat="false" ht="15" hidden="false" customHeight="false" outlineLevel="0" collapsed="false">
      <c r="A34" s="21" t="n">
        <v>29</v>
      </c>
      <c r="B34" s="22" t="n">
        <f aca="false">Input!$B$5+A34</f>
        <v>66</v>
      </c>
      <c r="C34" s="23" t="n">
        <f aca="false">IF(B34&lt;Input!$B$6,Input!$B$23*(1+Input!$B$24)^A34,0)</f>
        <v>41636.5209488977</v>
      </c>
      <c r="D34" s="23" t="n">
        <f aca="false">MIN(C34,Input!$B$51)*Input!$B$12</f>
        <v>10854.6410113776</v>
      </c>
      <c r="E34" s="23" t="n">
        <f aca="false">G33</f>
        <v>319889.905778896</v>
      </c>
      <c r="F34" s="23" t="n">
        <f aca="false">E34*Input!$B$14</f>
        <v>1599.44952889448</v>
      </c>
      <c r="G34" s="23" t="n">
        <f aca="false">IF(B34&lt;Input!$B$6,E34+D34+F34,E34)</f>
        <v>332343.996319168</v>
      </c>
    </row>
    <row r="35" customFormat="false" ht="15" hidden="false" customHeight="false" outlineLevel="0" collapsed="false">
      <c r="A35" s="21" t="n">
        <v>30</v>
      </c>
      <c r="B35" s="22" t="n">
        <f aca="false">Input!$B$5+A35</f>
        <v>67</v>
      </c>
      <c r="C35" s="23" t="n">
        <f aca="false">IF(B35&lt;Input!$B$6,Input!$B$23*(1+Input!$B$24)^A35,0)</f>
        <v>0</v>
      </c>
      <c r="D35" s="23" t="n">
        <f aca="false">MIN(C35,Input!$B$51)*Input!$B$12</f>
        <v>0</v>
      </c>
      <c r="E35" s="23" t="n">
        <f aca="false">G34</f>
        <v>332343.996319168</v>
      </c>
      <c r="F35" s="23" t="n">
        <f aca="false">E35*Input!$B$14</f>
        <v>1661.71998159584</v>
      </c>
      <c r="G35" s="23" t="n">
        <f aca="false">IF(B35&lt;Input!$B$6,E35+D35+F35,E35)</f>
        <v>332343.996319168</v>
      </c>
    </row>
    <row r="36" customFormat="false" ht="15" hidden="false" customHeight="false" outlineLevel="0" collapsed="false">
      <c r="A36" s="21" t="n">
        <v>31</v>
      </c>
      <c r="B36" s="22" t="n">
        <f aca="false">Input!$B$5+A36</f>
        <v>68</v>
      </c>
      <c r="C36" s="23" t="n">
        <f aca="false">IF(B36&lt;Input!$B$6,Input!$B$23*(1+Input!$B$24)^A36,0)</f>
        <v>0</v>
      </c>
      <c r="D36" s="23" t="n">
        <f aca="false">MIN(C36,Input!$B$51)*Input!$B$12</f>
        <v>0</v>
      </c>
      <c r="E36" s="23" t="n">
        <f aca="false">G35</f>
        <v>332343.996319168</v>
      </c>
      <c r="F36" s="23" t="n">
        <f aca="false">E36*Input!$B$14</f>
        <v>1661.71998159584</v>
      </c>
      <c r="G36" s="23" t="n">
        <f aca="false">IF(B36&lt;Input!$B$6,E36+D36+F36,E36)</f>
        <v>332343.996319168</v>
      </c>
    </row>
    <row r="37" customFormat="false" ht="15" hidden="false" customHeight="false" outlineLevel="0" collapsed="false">
      <c r="A37" s="21" t="n">
        <v>32</v>
      </c>
      <c r="B37" s="22" t="n">
        <f aca="false">Input!$B$5+A37</f>
        <v>69</v>
      </c>
      <c r="C37" s="23" t="n">
        <f aca="false">IF(B37&lt;Input!$B$6,Input!$B$23*(1+Input!$B$24)^A37,0)</f>
        <v>0</v>
      </c>
      <c r="D37" s="23" t="n">
        <f aca="false">MIN(C37,Input!$B$51)*Input!$B$12</f>
        <v>0</v>
      </c>
      <c r="E37" s="23" t="n">
        <f aca="false">G36</f>
        <v>332343.996319168</v>
      </c>
      <c r="F37" s="23" t="n">
        <f aca="false">E37*Input!$B$14</f>
        <v>1661.71998159584</v>
      </c>
      <c r="G37" s="23" t="n">
        <f aca="false">IF(B37&lt;Input!$B$6,E37+D37+F37,E37)</f>
        <v>332343.996319168</v>
      </c>
    </row>
    <row r="38" customFormat="false" ht="15" hidden="false" customHeight="false" outlineLevel="0" collapsed="false">
      <c r="A38" s="21" t="n">
        <v>33</v>
      </c>
      <c r="B38" s="22" t="n">
        <f aca="false">Input!$B$5+A38</f>
        <v>70</v>
      </c>
      <c r="C38" s="23" t="n">
        <f aca="false">IF(B38&lt;Input!$B$6,Input!$B$23*(1+Input!$B$24)^A38,0)</f>
        <v>0</v>
      </c>
      <c r="D38" s="23" t="n">
        <f aca="false">MIN(C38,Input!$B$51)*Input!$B$12</f>
        <v>0</v>
      </c>
      <c r="E38" s="23" t="n">
        <f aca="false">G37</f>
        <v>332343.996319168</v>
      </c>
      <c r="F38" s="23" t="n">
        <f aca="false">E38*Input!$B$14</f>
        <v>1661.71998159584</v>
      </c>
      <c r="G38" s="23" t="n">
        <f aca="false">IF(B38&lt;Input!$B$6,E38+D38+F38,E38)</f>
        <v>332343.996319168</v>
      </c>
    </row>
    <row r="39" customFormat="false" ht="15" hidden="false" customHeight="false" outlineLevel="0" collapsed="false">
      <c r="A39" s="21" t="n">
        <v>34</v>
      </c>
      <c r="B39" s="22" t="n">
        <f aca="false">Input!$B$5+A39</f>
        <v>71</v>
      </c>
      <c r="C39" s="23" t="n">
        <f aca="false">IF(B39&lt;Input!$B$6,Input!$B$23*(1+Input!$B$24)^A39,0)</f>
        <v>0</v>
      </c>
      <c r="D39" s="23" t="n">
        <f aca="false">MIN(C39,Input!$B$51)*Input!$B$12</f>
        <v>0</v>
      </c>
      <c r="E39" s="23" t="n">
        <f aca="false">G38</f>
        <v>332343.996319168</v>
      </c>
      <c r="F39" s="23" t="n">
        <f aca="false">E39*Input!$B$14</f>
        <v>1661.71998159584</v>
      </c>
      <c r="G39" s="23" t="n">
        <f aca="false">IF(B39&lt;Input!$B$6,E39+D39+F39,E39)</f>
        <v>332343.996319168</v>
      </c>
    </row>
    <row r="40" customFormat="false" ht="15" hidden="false" customHeight="false" outlineLevel="0" collapsed="false">
      <c r="A40" s="21" t="n">
        <v>35</v>
      </c>
      <c r="B40" s="22" t="n">
        <f aca="false">Input!$B$5+A40</f>
        <v>72</v>
      </c>
      <c r="C40" s="23" t="n">
        <f aca="false">IF(B40&lt;Input!$B$6,Input!$B$23*(1+Input!$B$24)^A40,0)</f>
        <v>0</v>
      </c>
      <c r="D40" s="23" t="n">
        <f aca="false">MIN(C40,Input!$B$51)*Input!$B$12</f>
        <v>0</v>
      </c>
      <c r="E40" s="23" t="n">
        <f aca="false">G39</f>
        <v>332343.996319168</v>
      </c>
      <c r="F40" s="23" t="n">
        <f aca="false">E40*Input!$B$14</f>
        <v>1661.71998159584</v>
      </c>
      <c r="G40" s="23" t="n">
        <f aca="false">IF(B40&lt;Input!$B$6,E40+D40+F40,E40)</f>
        <v>332343.996319168</v>
      </c>
    </row>
    <row r="41" customFormat="false" ht="15" hidden="false" customHeight="false" outlineLevel="0" collapsed="false">
      <c r="A41" s="21" t="n">
        <v>36</v>
      </c>
      <c r="B41" s="22" t="n">
        <f aca="false">Input!$B$5+A41</f>
        <v>73</v>
      </c>
      <c r="C41" s="23" t="n">
        <f aca="false">IF(B41&lt;Input!$B$6,Input!$B$23*(1+Input!$B$24)^A41,0)</f>
        <v>0</v>
      </c>
      <c r="D41" s="23" t="n">
        <f aca="false">MIN(C41,Input!$B$51)*Input!$B$12</f>
        <v>0</v>
      </c>
      <c r="E41" s="23" t="n">
        <f aca="false">G40</f>
        <v>332343.996319168</v>
      </c>
      <c r="F41" s="23" t="n">
        <f aca="false">E41*Input!$B$14</f>
        <v>1661.71998159584</v>
      </c>
      <c r="G41" s="23" t="n">
        <f aca="false">IF(B41&lt;Input!$B$6,E41+D41+F41,E41)</f>
        <v>332343.996319168</v>
      </c>
    </row>
    <row r="42" customFormat="false" ht="15" hidden="false" customHeight="false" outlineLevel="0" collapsed="false">
      <c r="A42" s="21" t="n">
        <v>37</v>
      </c>
      <c r="B42" s="22" t="n">
        <f aca="false">Input!$B$5+A42</f>
        <v>74</v>
      </c>
      <c r="C42" s="23" t="n">
        <f aca="false">IF(B42&lt;Input!$B$6,Input!$B$23*(1+Input!$B$24)^A42,0)</f>
        <v>0</v>
      </c>
      <c r="D42" s="23" t="n">
        <f aca="false">MIN(C42,Input!$B$51)*Input!$B$12</f>
        <v>0</v>
      </c>
      <c r="E42" s="23" t="n">
        <f aca="false">G41</f>
        <v>332343.996319168</v>
      </c>
      <c r="F42" s="23" t="n">
        <f aca="false">E42*Input!$B$14</f>
        <v>1661.71998159584</v>
      </c>
      <c r="G42" s="23" t="n">
        <f aca="false">IF(B42&lt;Input!$B$6,E42+D42+F42,E42)</f>
        <v>332343.996319168</v>
      </c>
    </row>
    <row r="43" customFormat="false" ht="15" hidden="false" customHeight="false" outlineLevel="0" collapsed="false">
      <c r="A43" s="21" t="n">
        <v>38</v>
      </c>
      <c r="B43" s="22" t="n">
        <f aca="false">Input!$B$5+A43</f>
        <v>75</v>
      </c>
      <c r="C43" s="23" t="n">
        <f aca="false">IF(B43&lt;Input!$B$6,Input!$B$23*(1+Input!$B$24)^A43,0)</f>
        <v>0</v>
      </c>
      <c r="D43" s="23" t="n">
        <f aca="false">MIN(C43,Input!$B$51)*Input!$B$12</f>
        <v>0</v>
      </c>
      <c r="E43" s="23" t="n">
        <f aca="false">G42</f>
        <v>332343.996319168</v>
      </c>
      <c r="F43" s="23" t="n">
        <f aca="false">E43*Input!$B$14</f>
        <v>1661.71998159584</v>
      </c>
      <c r="G43" s="23" t="n">
        <f aca="false">IF(B43&lt;Input!$B$6,E43+D43+F43,E43)</f>
        <v>332343.996319168</v>
      </c>
    </row>
    <row r="44" customFormat="false" ht="15" hidden="false" customHeight="false" outlineLevel="0" collapsed="false">
      <c r="A44" s="21" t="n">
        <v>39</v>
      </c>
      <c r="B44" s="22" t="n">
        <f aca="false">Input!$B$5+A44</f>
        <v>76</v>
      </c>
      <c r="C44" s="23" t="n">
        <f aca="false">IF(B44&lt;Input!$B$6,Input!$B$23*(1+Input!$B$24)^A44,0)</f>
        <v>0</v>
      </c>
      <c r="D44" s="23" t="n">
        <f aca="false">MIN(C44,Input!$B$51)*Input!$B$12</f>
        <v>0</v>
      </c>
      <c r="E44" s="23" t="n">
        <f aca="false">G43</f>
        <v>332343.996319168</v>
      </c>
      <c r="F44" s="23" t="n">
        <f aca="false">E44*Input!$B$14</f>
        <v>1661.71998159584</v>
      </c>
      <c r="G44" s="23" t="n">
        <f aca="false">IF(B44&lt;Input!$B$6,E44+D44+F44,E44)</f>
        <v>332343.996319168</v>
      </c>
    </row>
    <row r="45" customFormat="false" ht="15" hidden="false" customHeight="false" outlineLevel="0" collapsed="false">
      <c r="A45" s="21" t="n">
        <v>40</v>
      </c>
      <c r="B45" s="22" t="n">
        <f aca="false">Input!$B$5+A45</f>
        <v>77</v>
      </c>
      <c r="C45" s="23" t="n">
        <f aca="false">IF(B45&lt;Input!$B$6,Input!$B$23*(1+Input!$B$24)^A45,0)</f>
        <v>0</v>
      </c>
      <c r="D45" s="23" t="n">
        <f aca="false">MIN(C45,Input!$B$51)*Input!$B$12</f>
        <v>0</v>
      </c>
      <c r="E45" s="23" t="n">
        <f aca="false">G44</f>
        <v>332343.996319168</v>
      </c>
      <c r="F45" s="23" t="n">
        <f aca="false">E45*Input!$B$14</f>
        <v>1661.71998159584</v>
      </c>
      <c r="G45" s="23" t="n">
        <f aca="false">IF(B45&lt;Input!$B$6,E45+D45+F45,E45)</f>
        <v>332343.996319168</v>
      </c>
    </row>
    <row r="46" customFormat="false" ht="15" hidden="false" customHeight="false" outlineLevel="0" collapsed="false">
      <c r="A46" s="21" t="n">
        <v>41</v>
      </c>
      <c r="B46" s="22" t="n">
        <f aca="false">Input!$B$5+A46</f>
        <v>78</v>
      </c>
      <c r="C46" s="23" t="n">
        <f aca="false">IF(B46&lt;Input!$B$6,Input!$B$23*(1+Input!$B$24)^A46,0)</f>
        <v>0</v>
      </c>
      <c r="D46" s="23" t="n">
        <f aca="false">MIN(C46,Input!$B$51)*Input!$B$12</f>
        <v>0</v>
      </c>
      <c r="E46" s="23" t="n">
        <f aca="false">G45</f>
        <v>332343.996319168</v>
      </c>
      <c r="F46" s="23" t="n">
        <f aca="false">E46*Input!$B$14</f>
        <v>1661.71998159584</v>
      </c>
      <c r="G46" s="23" t="n">
        <f aca="false">IF(B46&lt;Input!$B$6,E46+D46+F46,E46)</f>
        <v>332343.996319168</v>
      </c>
    </row>
    <row r="47" customFormat="false" ht="15" hidden="false" customHeight="false" outlineLevel="0" collapsed="false">
      <c r="A47" s="21" t="n">
        <v>42</v>
      </c>
      <c r="B47" s="22" t="n">
        <f aca="false">Input!$B$5+A47</f>
        <v>79</v>
      </c>
      <c r="C47" s="23" t="n">
        <f aca="false">IF(B47&lt;Input!$B$6,Input!$B$23*(1+Input!$B$24)^A47,0)</f>
        <v>0</v>
      </c>
      <c r="D47" s="23" t="n">
        <f aca="false">MIN(C47,Input!$B$51)*Input!$B$12</f>
        <v>0</v>
      </c>
      <c r="E47" s="23" t="n">
        <f aca="false">G46</f>
        <v>332343.996319168</v>
      </c>
      <c r="F47" s="23" t="n">
        <f aca="false">E47*Input!$B$14</f>
        <v>1661.71998159584</v>
      </c>
      <c r="G47" s="23" t="n">
        <f aca="false">IF(B47&lt;Input!$B$6,E47+D47+F47,E47)</f>
        <v>332343.996319168</v>
      </c>
    </row>
    <row r="48" customFormat="false" ht="15" hidden="false" customHeight="false" outlineLevel="0" collapsed="false">
      <c r="A48" s="21" t="n">
        <v>43</v>
      </c>
      <c r="B48" s="22" t="n">
        <f aca="false">Input!$B$5+A48</f>
        <v>80</v>
      </c>
      <c r="C48" s="23" t="n">
        <f aca="false">IF(B48&lt;Input!$B$6,Input!$B$23*(1+Input!$B$24)^A48,0)</f>
        <v>0</v>
      </c>
      <c r="D48" s="23" t="n">
        <f aca="false">MIN(C48,Input!$B$51)*Input!$B$12</f>
        <v>0</v>
      </c>
      <c r="E48" s="23" t="n">
        <f aca="false">G47</f>
        <v>332343.996319168</v>
      </c>
      <c r="F48" s="23" t="n">
        <f aca="false">E48*Input!$B$14</f>
        <v>1661.71998159584</v>
      </c>
      <c r="G48" s="23" t="n">
        <f aca="false">IF(B48&lt;Input!$B$6,E48+D48+F48,E48)</f>
        <v>332343.996319168</v>
      </c>
    </row>
    <row r="49" customFormat="false" ht="15" hidden="false" customHeight="false" outlineLevel="0" collapsed="false">
      <c r="A49" s="21" t="n">
        <v>44</v>
      </c>
      <c r="B49" s="22" t="n">
        <f aca="false">Input!$B$5+A49</f>
        <v>81</v>
      </c>
      <c r="C49" s="23" t="n">
        <f aca="false">IF(B49&lt;Input!$B$6,Input!$B$23*(1+Input!$B$24)^A49,0)</f>
        <v>0</v>
      </c>
      <c r="D49" s="23" t="n">
        <f aca="false">MIN(C49,Input!$B$51)*Input!$B$12</f>
        <v>0</v>
      </c>
      <c r="E49" s="23" t="n">
        <f aca="false">G48</f>
        <v>332343.996319168</v>
      </c>
      <c r="F49" s="23" t="n">
        <f aca="false">E49*Input!$B$14</f>
        <v>1661.71998159584</v>
      </c>
      <c r="G49" s="23" t="n">
        <f aca="false">IF(B49&lt;Input!$B$6,E49+D49+F49,E49)</f>
        <v>332343.996319168</v>
      </c>
    </row>
    <row r="50" customFormat="false" ht="15" hidden="false" customHeight="false" outlineLevel="0" collapsed="false">
      <c r="A50" s="21" t="n">
        <v>45</v>
      </c>
      <c r="B50" s="22" t="n">
        <f aca="false">Input!$B$5+A50</f>
        <v>82</v>
      </c>
      <c r="C50" s="23" t="n">
        <f aca="false">IF(B50&lt;Input!$B$6,Input!$B$23*(1+Input!$B$24)^A50,0)</f>
        <v>0</v>
      </c>
      <c r="D50" s="23" t="n">
        <f aca="false">MIN(C50,Input!$B$51)*Input!$B$12</f>
        <v>0</v>
      </c>
      <c r="E50" s="23" t="n">
        <f aca="false">G49</f>
        <v>332343.996319168</v>
      </c>
      <c r="F50" s="23" t="n">
        <f aca="false">E50*Input!$B$14</f>
        <v>1661.71998159584</v>
      </c>
      <c r="G50" s="23" t="n">
        <f aca="false">IF(B50&lt;Input!$B$6,E50+D50+F50,E50)</f>
        <v>332343.996319168</v>
      </c>
    </row>
    <row r="51" customFormat="false" ht="15" hidden="false" customHeight="false" outlineLevel="0" collapsed="false">
      <c r="A51" s="21" t="n">
        <v>46</v>
      </c>
      <c r="B51" s="22" t="n">
        <f aca="false">Input!$B$5+A51</f>
        <v>83</v>
      </c>
      <c r="C51" s="23" t="n">
        <f aca="false">IF(B51&lt;Input!$B$6,Input!$B$23*(1+Input!$B$24)^A51,0)</f>
        <v>0</v>
      </c>
      <c r="D51" s="23" t="n">
        <f aca="false">MIN(C51,Input!$B$51)*Input!$B$12</f>
        <v>0</v>
      </c>
      <c r="E51" s="23" t="n">
        <f aca="false">G50</f>
        <v>332343.996319168</v>
      </c>
      <c r="F51" s="23" t="n">
        <f aca="false">E51*Input!$B$14</f>
        <v>1661.71998159584</v>
      </c>
      <c r="G51" s="23" t="n">
        <f aca="false">IF(B51&lt;Input!$B$6,E51+D51+F51,E51)</f>
        <v>332343.996319168</v>
      </c>
    </row>
    <row r="52" customFormat="false" ht="15" hidden="false" customHeight="false" outlineLevel="0" collapsed="false">
      <c r="A52" s="21" t="n">
        <v>47</v>
      </c>
      <c r="B52" s="22" t="n">
        <f aca="false">Input!$B$5+A52</f>
        <v>84</v>
      </c>
      <c r="C52" s="23" t="n">
        <f aca="false">IF(B52&lt;Input!$B$6,Input!$B$23*(1+Input!$B$24)^A52,0)</f>
        <v>0</v>
      </c>
      <c r="D52" s="23" t="n">
        <f aca="false">MIN(C52,Input!$B$51)*Input!$B$12</f>
        <v>0</v>
      </c>
      <c r="E52" s="23" t="n">
        <f aca="false">G51</f>
        <v>332343.996319168</v>
      </c>
      <c r="F52" s="23" t="n">
        <f aca="false">E52*Input!$B$14</f>
        <v>1661.71998159584</v>
      </c>
      <c r="G52" s="23" t="n">
        <f aca="false">IF(B52&lt;Input!$B$6,E52+D52+F52,E52)</f>
        <v>332343.996319168</v>
      </c>
    </row>
    <row r="53" customFormat="false" ht="15" hidden="false" customHeight="false" outlineLevel="0" collapsed="false">
      <c r="A53" s="21" t="n">
        <v>48</v>
      </c>
      <c r="B53" s="22" t="n">
        <f aca="false">Input!$B$5+A53</f>
        <v>85</v>
      </c>
      <c r="C53" s="23" t="n">
        <f aca="false">IF(B53&lt;Input!$B$6,Input!$B$23*(1+Input!$B$24)^A53,0)</f>
        <v>0</v>
      </c>
      <c r="D53" s="23" t="n">
        <f aca="false">MIN(C53,Input!$B$51)*Input!$B$12</f>
        <v>0</v>
      </c>
      <c r="E53" s="23" t="n">
        <f aca="false">G52</f>
        <v>332343.996319168</v>
      </c>
      <c r="F53" s="23" t="n">
        <f aca="false">E53*Input!$B$14</f>
        <v>1661.71998159584</v>
      </c>
      <c r="G53" s="23" t="n">
        <f aca="false">IF(B53&lt;Input!$B$6,E53+D53+F53,E53)</f>
        <v>332343.996319168</v>
      </c>
    </row>
    <row r="54" customFormat="false" ht="15" hidden="false" customHeight="false" outlineLevel="0" collapsed="false">
      <c r="A54" s="21" t="n">
        <v>49</v>
      </c>
      <c r="B54" s="22" t="n">
        <f aca="false">Input!$B$5+A54</f>
        <v>86</v>
      </c>
      <c r="C54" s="23" t="n">
        <f aca="false">IF(B54&lt;Input!$B$6,Input!$B$23*(1+Input!$B$24)^A54,0)</f>
        <v>0</v>
      </c>
      <c r="D54" s="23" t="n">
        <f aca="false">MIN(C54,Input!$B$51)*Input!$B$12</f>
        <v>0</v>
      </c>
      <c r="E54" s="23" t="n">
        <f aca="false">G53</f>
        <v>332343.996319168</v>
      </c>
      <c r="F54" s="23" t="n">
        <f aca="false">E54*Input!$B$14</f>
        <v>1661.71998159584</v>
      </c>
      <c r="G54" s="23" t="n">
        <f aca="false">IF(B54&lt;Input!$B$6,E54+D54+F54,E54)</f>
        <v>332343.996319168</v>
      </c>
    </row>
    <row r="57" customFormat="false" ht="15" hidden="false" customHeight="false" outlineLevel="0" collapsed="false">
      <c r="A57" s="4" t="s">
        <v>96</v>
      </c>
      <c r="B57" s="4"/>
      <c r="C57" s="4"/>
      <c r="D57" s="4"/>
      <c r="E57" s="4"/>
      <c r="F57" s="4"/>
      <c r="G57" s="4"/>
    </row>
    <row r="58" customFormat="false" ht="15" hidden="false" customHeight="false" outlineLevel="0" collapsed="false">
      <c r="A58" s="5" t="s">
        <v>97</v>
      </c>
      <c r="B58" s="25" t="n">
        <f aca="false">INDEX(G5:G54,MATCH(Input!$B$6-1,B5:B54,0))</f>
        <v>332343.996319168</v>
      </c>
    </row>
    <row r="59" customFormat="false" ht="15" hidden="false" customHeight="false" outlineLevel="0" collapsed="false">
      <c r="A59" s="5" t="s">
        <v>98</v>
      </c>
      <c r="B59" s="26" t="n">
        <f aca="false">Input!$B$43</f>
        <v>0.0427051568947495</v>
      </c>
    </row>
    <row r="60" customFormat="false" ht="15" hidden="false" customHeight="false" outlineLevel="0" collapsed="false">
      <c r="A60" s="5" t="s">
        <v>99</v>
      </c>
      <c r="B60" s="27" t="n">
        <f aca="false">B58*B59</f>
        <v>14192.8025058381</v>
      </c>
    </row>
    <row r="61" customFormat="false" ht="15" hidden="false" customHeight="false" outlineLevel="0" collapsed="false">
      <c r="A61" s="5" t="s">
        <v>100</v>
      </c>
      <c r="B61" s="25" t="n">
        <f aca="false">B60/13</f>
        <v>1091.75403891063</v>
      </c>
    </row>
    <row r="62" customFormat="false" ht="15" hidden="false" customHeight="false" outlineLevel="0" collapsed="false">
      <c r="A62" s="5" t="s">
        <v>101</v>
      </c>
      <c r="B62" s="25" t="n">
        <f aca="false">Input!$B$23*(1+Input!$B$24)^(Input!$B$7-1)</f>
        <v>41636.5209488977</v>
      </c>
    </row>
    <row r="63" customFormat="false" ht="15" hidden="false" customHeight="false" outlineLevel="0" collapsed="false">
      <c r="A63" s="5" t="s">
        <v>102</v>
      </c>
      <c r="B63" s="28" t="n">
        <f aca="false">IF(B62&gt;0,B60/B62,0)</f>
        <v>0.340873881447914</v>
      </c>
    </row>
    <row r="64" customFormat="false" ht="15" hidden="false" customHeight="true" outlineLevel="0" collapsed="false">
      <c r="A64" s="5" t="s">
        <v>103</v>
      </c>
      <c r="B64" s="25" t="n">
        <f aca="false">IF(B60&lt;=28000,B60*0.23,IF(B60&lt;=50000,6440+(B60-28000)*0.33,13700+(B60-50000)*0.43))</f>
        <v>3264.34457634277</v>
      </c>
    </row>
    <row r="65" customFormat="false" ht="15" hidden="false" customHeight="true" outlineLevel="0" collapsed="false">
      <c r="A65" s="5" t="s">
        <v>104</v>
      </c>
      <c r="B65" s="25" t="n">
        <f aca="false">IF(B60&lt;=8500,1955,IF(B60&lt;=28000,700+1255*(28000-B60)/19500,IF(B60&lt;=50000,700*(50000-B60)/22000,0)))</f>
        <v>1588.61706949606</v>
      </c>
    </row>
    <row r="66" customFormat="false" ht="15" hidden="false" customHeight="true" outlineLevel="0" collapsed="false">
      <c r="A66" s="5" t="s">
        <v>105</v>
      </c>
      <c r="B66" s="25" t="n">
        <f aca="false">IF(B64-B65&gt;0,B60*0.02,0)</f>
        <v>283.856050116763</v>
      </c>
    </row>
    <row r="67" customFormat="false" ht="15" hidden="false" customHeight="true" outlineLevel="0" collapsed="false">
      <c r="A67" s="19" t="s">
        <v>106</v>
      </c>
      <c r="B67" s="27" t="n">
        <f aca="false">B60-MAX(0,B64-B65)-B66</f>
        <v>12233.2189488747</v>
      </c>
    </row>
    <row r="68" customFormat="false" ht="15" hidden="false" customHeight="true" outlineLevel="0" collapsed="false">
      <c r="A68" s="5" t="s">
        <v>107</v>
      </c>
      <c r="B68" s="25" t="n">
        <f aca="false">B67/13</f>
        <v>941.016842221128</v>
      </c>
    </row>
  </sheetData>
  <mergeCells count="3">
    <mergeCell ref="A1:G1"/>
    <mergeCell ref="A2:G2"/>
    <mergeCell ref="A57:G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3" min="2" style="1" width="15"/>
    <col collapsed="false" customWidth="true" hidden="false" outlineLevel="0" max="4" min="4" style="1" width="40"/>
  </cols>
  <sheetData>
    <row r="1" customFormat="false" ht="17.35" hidden="false" customHeight="false" outlineLevel="0" collapsed="false">
      <c r="A1" s="2" t="s">
        <v>108</v>
      </c>
      <c r="B1" s="2"/>
      <c r="C1" s="2"/>
      <c r="D1" s="2"/>
    </row>
    <row r="2" customFormat="false" ht="15" hidden="false" customHeight="false" outlineLevel="0" collapsed="false">
      <c r="A2" s="3" t="s">
        <v>109</v>
      </c>
      <c r="B2" s="3"/>
      <c r="C2" s="3"/>
      <c r="D2" s="3"/>
    </row>
    <row r="4" customFormat="false" ht="15" hidden="false" customHeight="false" outlineLevel="0" collapsed="false">
      <c r="A4" s="15" t="s">
        <v>110</v>
      </c>
      <c r="B4" s="15" t="s">
        <v>111</v>
      </c>
      <c r="C4" s="15" t="s">
        <v>112</v>
      </c>
    </row>
    <row r="5" customFormat="false" ht="15" hidden="false" customHeight="false" outlineLevel="0" collapsed="false">
      <c r="A5" s="5" t="s">
        <v>113</v>
      </c>
      <c r="B5" s="23" t="n">
        <f aca="false">Input!$B$21</f>
        <v>40000</v>
      </c>
      <c r="C5" s="23" t="n">
        <f aca="false">Input!$B$21</f>
        <v>40000</v>
      </c>
    </row>
    <row r="6" customFormat="false" ht="15" hidden="false" customHeight="false" outlineLevel="0" collapsed="false">
      <c r="A6" s="5" t="s">
        <v>31</v>
      </c>
      <c r="B6" s="23" t="n">
        <f aca="false">Input!$B$21*Input!$B$20</f>
        <v>31200</v>
      </c>
      <c r="C6" s="23" t="n">
        <f aca="false">Input!$B$21-Input!$B$22</f>
        <v>40000</v>
      </c>
      <c r="D6" s="7" t="s">
        <v>114</v>
      </c>
    </row>
    <row r="7" customFormat="false" ht="15" hidden="false" customHeight="false" outlineLevel="0" collapsed="false">
      <c r="A7" s="5" t="s">
        <v>115</v>
      </c>
      <c r="B7" s="23" t="n">
        <f aca="false">B6*Input!$B$12</f>
        <v>8133.84</v>
      </c>
      <c r="C7" s="23" t="n">
        <f aca="false">MIN(C6,Input!$B$51)*Input!$B$12</f>
        <v>10428</v>
      </c>
      <c r="D7" s="7" t="s">
        <v>116</v>
      </c>
    </row>
    <row r="8" customFormat="false" ht="15" hidden="false" customHeight="false" outlineLevel="0" collapsed="false">
      <c r="A8" s="5" t="s">
        <v>117</v>
      </c>
      <c r="B8" s="23" t="n">
        <f aca="false">MIN(Input!$B$28,Input!$B$48,Input!$B$52)</f>
        <v>0</v>
      </c>
      <c r="C8" s="23" t="n">
        <f aca="false">MIN(Input!$B$28,Input!$B$48)</f>
        <v>0</v>
      </c>
      <c r="D8" s="7" t="s">
        <v>118</v>
      </c>
    </row>
    <row r="9" customFormat="false" ht="15" hidden="false" customHeight="false" outlineLevel="0" collapsed="false">
      <c r="A9" s="19" t="s">
        <v>119</v>
      </c>
      <c r="B9" s="29" t="n">
        <f aca="false">MAX(0,B6-B7)</f>
        <v>23066.16</v>
      </c>
      <c r="C9" s="29" t="n">
        <f aca="false">MAX(0,C6-C7+Input!$B$52-C8)</f>
        <v>29572</v>
      </c>
    </row>
    <row r="10" customFormat="false" ht="15" hidden="false" customHeight="false" outlineLevel="0" collapsed="false">
      <c r="A10" s="5" t="s">
        <v>120</v>
      </c>
      <c r="B10" s="23" t="n">
        <f aca="false">B9*Input!$B$36+IF(MAX(0,Input!$B$52-B8)&lt;=28000,MAX(0,Input!$B$52-B8)*0.23,IF(MAX(0,Input!$B$52-B8)&lt;=50000,6440+(MAX(0,Input!$B$52-B8)-28000)*0.33,13700+(MAX(0,Input!$B$52-B8)-50000)*0.43))</f>
        <v>3459.924</v>
      </c>
      <c r="C10" s="23" t="n">
        <f aca="false">IF(C9&lt;=28000,C9*0.23,IF(C9&lt;=50000,6440+(C9-28000)*0.33,13700+(C9-50000)*0.43))</f>
        <v>6958.76</v>
      </c>
      <c r="D10" s="7" t="s">
        <v>121</v>
      </c>
    </row>
    <row r="11" customFormat="false" ht="15" hidden="false" customHeight="false" outlineLevel="0" collapsed="false">
      <c r="A11" s="19" t="s">
        <v>122</v>
      </c>
      <c r="B11" s="30" t="n">
        <f aca="false">B6-B7+Input!$B$52-B10</f>
        <v>19606.236</v>
      </c>
      <c r="C11" s="30" t="n">
        <f aca="false">C6-C7+Input!$B$52-C10</f>
        <v>22613.24</v>
      </c>
    </row>
    <row r="13" customFormat="false" ht="15" hidden="false" customHeight="false" outlineLevel="0" collapsed="false">
      <c r="A13" s="4" t="s">
        <v>123</v>
      </c>
      <c r="B13" s="4"/>
      <c r="C13" s="4"/>
      <c r="D13" s="4"/>
    </row>
    <row r="14" customFormat="false" ht="15" hidden="false" customHeight="false" outlineLevel="0" collapsed="false">
      <c r="A14" s="5" t="s">
        <v>124</v>
      </c>
      <c r="B14" s="23" t="n">
        <f aca="false">B9*Input!$B$36+IF(Input!$B$52&lt;=28000,Input!$B$52*0.23,IF(Input!$B$52&lt;=50000,6440+(Input!$B$52-28000)*0.33,13700+(Input!$B$52-50000)*0.43))</f>
        <v>3459.924</v>
      </c>
      <c r="C14" s="23" t="n">
        <f aca="false">IF(MAX(0,C6-C7+Input!$B$52)&lt;=28000,MAX(0,C6-C7+Input!$B$52)*0.23,IF(MAX(0,C6-C7+Input!$B$52)&lt;=50000,6440+(MAX(0,C6-C7+Input!$B$52)-28000)*0.33,13700+(MAX(0,C6-C7+Input!$B$52)-50000)*0.43))</f>
        <v>6958.76</v>
      </c>
    </row>
    <row r="15" customFormat="false" ht="15" hidden="false" customHeight="false" outlineLevel="0" collapsed="false">
      <c r="A15" s="19" t="s">
        <v>125</v>
      </c>
      <c r="B15" s="31" t="n">
        <f aca="false">B14-B10</f>
        <v>0</v>
      </c>
      <c r="C15" s="31" t="n">
        <f aca="false">C14-C10</f>
        <v>0</v>
      </c>
      <c r="D15" s="7" t="s">
        <v>126</v>
      </c>
    </row>
    <row r="17" customFormat="false" ht="15" hidden="false" customHeight="false" outlineLevel="0" collapsed="false">
      <c r="A17" s="32" t="s">
        <v>127</v>
      </c>
      <c r="B17" s="32"/>
      <c r="C17" s="32"/>
      <c r="D17" s="32"/>
    </row>
    <row r="18" customFormat="false" ht="15" hidden="false" customHeight="false" outlineLevel="0" collapsed="false">
      <c r="A18" s="32" t="s">
        <v>128</v>
      </c>
      <c r="B18" s="32"/>
      <c r="C18" s="32"/>
      <c r="D18" s="32"/>
    </row>
    <row r="19" customFormat="false" ht="15" hidden="false" customHeight="false" outlineLevel="0" collapsed="false">
      <c r="A19" s="32" t="s">
        <v>129</v>
      </c>
      <c r="B19" s="32"/>
      <c r="C19" s="32"/>
      <c r="D19" s="32"/>
    </row>
    <row r="20" customFormat="false" ht="15" hidden="false" customHeight="false" outlineLevel="0" collapsed="false">
      <c r="A20" s="32" t="s">
        <v>130</v>
      </c>
      <c r="B20" s="32"/>
      <c r="C20" s="32"/>
      <c r="D20" s="32"/>
    </row>
    <row r="21" customFormat="false" ht="15" hidden="false" customHeight="false" outlineLevel="0" collapsed="false">
      <c r="A21" s="32" t="s">
        <v>131</v>
      </c>
      <c r="B21" s="32"/>
      <c r="C21" s="32"/>
      <c r="D21" s="32"/>
    </row>
    <row r="22" customFormat="false" ht="15" hidden="false" customHeight="false" outlineLevel="0" collapsed="false">
      <c r="A22" s="32" t="s">
        <v>132</v>
      </c>
      <c r="B22" s="32"/>
      <c r="C22" s="32"/>
      <c r="D22" s="32"/>
    </row>
    <row r="23" customFormat="false" ht="15" hidden="false" customHeight="false" outlineLevel="0" collapsed="false">
      <c r="A23" s="32" t="s">
        <v>133</v>
      </c>
      <c r="B23" s="32"/>
      <c r="C23" s="32"/>
      <c r="D23" s="32"/>
    </row>
  </sheetData>
  <mergeCells count="10">
    <mergeCell ref="A1:D1"/>
    <mergeCell ref="A2:D2"/>
    <mergeCell ref="A13:D13"/>
    <mergeCell ref="A17:D17"/>
    <mergeCell ref="A18:D18"/>
    <mergeCell ref="A19:D19"/>
    <mergeCell ref="A20:D20"/>
    <mergeCell ref="A21:D21"/>
    <mergeCell ref="A22:D22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8"/>
    <col collapsed="false" customWidth="true" hidden="false" outlineLevel="0" max="3" min="3" style="1" width="14"/>
    <col collapsed="false" customWidth="true" hidden="false" outlineLevel="0" max="6" min="4" style="1" width="16"/>
    <col collapsed="false" customWidth="true" hidden="false" outlineLevel="0" max="7" min="7" style="1" width="18"/>
  </cols>
  <sheetData>
    <row r="1" customFormat="false" ht="17.35" hidden="false" customHeight="false" outlineLevel="0" collapsed="false">
      <c r="A1" s="2" t="s">
        <v>35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134</v>
      </c>
      <c r="B2" s="3"/>
      <c r="C2" s="3"/>
      <c r="D2" s="3"/>
      <c r="E2" s="3"/>
      <c r="F2" s="3"/>
    </row>
    <row r="4" customFormat="false" ht="15" hidden="false" customHeight="false" outlineLevel="0" collapsed="false">
      <c r="A4" s="15" t="s">
        <v>90</v>
      </c>
      <c r="B4" s="15" t="s">
        <v>80</v>
      </c>
      <c r="C4" s="15" t="s">
        <v>135</v>
      </c>
      <c r="D4" s="15" t="s">
        <v>93</v>
      </c>
      <c r="E4" s="15" t="s">
        <v>136</v>
      </c>
      <c r="F4" s="15" t="s">
        <v>95</v>
      </c>
      <c r="G4" s="15" t="s">
        <v>137</v>
      </c>
    </row>
    <row r="5" customFormat="false" ht="15" hidden="false" customHeight="false" outlineLevel="0" collapsed="false">
      <c r="A5" s="21" t="n">
        <v>0</v>
      </c>
      <c r="B5" s="22" t="n">
        <f aca="false">Input!$B$5+A5</f>
        <v>37</v>
      </c>
      <c r="C5" s="23" t="n">
        <f aca="false">IF(B5&lt;Input!$B$6,Input!$B$28,0)</f>
        <v>0</v>
      </c>
      <c r="D5" s="24" t="n">
        <f aca="false">Input!$B$31</f>
        <v>0</v>
      </c>
      <c r="E5" s="23" t="n">
        <f aca="false">(D5+C5)*(Input!$B$29-Input!$B$30)</f>
        <v>0</v>
      </c>
      <c r="F5" s="23" t="n">
        <f aca="false">IF(B5&lt;Input!$B$6,D5+C5+E5,D5)</f>
        <v>0</v>
      </c>
      <c r="G5" s="23" t="n">
        <f aca="false">IF(B5&lt;Input!$B$6,(Input!$B$46+IF(Input!$B$47=1,0,C5-Input!$B$46))*(1+Input!$B$39)^(A5-Input!$B$7),0)</f>
        <v>0</v>
      </c>
    </row>
    <row r="6" customFormat="false" ht="15" hidden="false" customHeight="false" outlineLevel="0" collapsed="false">
      <c r="A6" s="21" t="n">
        <v>1</v>
      </c>
      <c r="B6" s="22" t="n">
        <f aca="false">Input!$B$5+A6</f>
        <v>38</v>
      </c>
      <c r="C6" s="23" t="n">
        <f aca="false">IF(B6&lt;Input!$B$6,Input!$B$28,0)</f>
        <v>0</v>
      </c>
      <c r="D6" s="23" t="n">
        <f aca="false">F5</f>
        <v>0</v>
      </c>
      <c r="E6" s="23" t="n">
        <f aca="false">(D6+C6)*(Input!$B$29-Input!$B$30)</f>
        <v>0</v>
      </c>
      <c r="F6" s="23" t="n">
        <f aca="false">IF(B6&lt;Input!$B$6,D6+C6+E6,D6)</f>
        <v>0</v>
      </c>
      <c r="G6" s="23" t="n">
        <f aca="false">IF(B6&lt;Input!$B$6,(Input!$B$46+IF(Input!$B$47=1,0,C6-Input!$B$46))*(1+Input!$B$39)^(A6-Input!$B$7),0)</f>
        <v>0</v>
      </c>
    </row>
    <row r="7" customFormat="false" ht="15" hidden="false" customHeight="false" outlineLevel="0" collapsed="false">
      <c r="A7" s="21" t="n">
        <v>2</v>
      </c>
      <c r="B7" s="22" t="n">
        <f aca="false">Input!$B$5+A7</f>
        <v>39</v>
      </c>
      <c r="C7" s="23" t="n">
        <f aca="false">IF(B7&lt;Input!$B$6,Input!$B$28,0)</f>
        <v>0</v>
      </c>
      <c r="D7" s="23" t="n">
        <f aca="false">F6</f>
        <v>0</v>
      </c>
      <c r="E7" s="23" t="n">
        <f aca="false">(D7+C7)*(Input!$B$29-Input!$B$30)</f>
        <v>0</v>
      </c>
      <c r="F7" s="23" t="n">
        <f aca="false">IF(B7&lt;Input!$B$6,D7+C7+E7,D7)</f>
        <v>0</v>
      </c>
      <c r="G7" s="23" t="n">
        <f aca="false">IF(B7&lt;Input!$B$6,(Input!$B$46+IF(Input!$B$47=1,0,C7-Input!$B$46))*(1+Input!$B$39)^(A7-Input!$B$7),0)</f>
        <v>0</v>
      </c>
    </row>
    <row r="8" customFormat="false" ht="15" hidden="false" customHeight="false" outlineLevel="0" collapsed="false">
      <c r="A8" s="21" t="n">
        <v>3</v>
      </c>
      <c r="B8" s="22" t="n">
        <f aca="false">Input!$B$5+A8</f>
        <v>40</v>
      </c>
      <c r="C8" s="23" t="n">
        <f aca="false">IF(B8&lt;Input!$B$6,Input!$B$28,0)</f>
        <v>0</v>
      </c>
      <c r="D8" s="23" t="n">
        <f aca="false">F7</f>
        <v>0</v>
      </c>
      <c r="E8" s="23" t="n">
        <f aca="false">(D8+C8)*(Input!$B$29-Input!$B$30)</f>
        <v>0</v>
      </c>
      <c r="F8" s="23" t="n">
        <f aca="false">IF(B8&lt;Input!$B$6,D8+C8+E8,D8)</f>
        <v>0</v>
      </c>
      <c r="G8" s="23" t="n">
        <f aca="false">IF(B8&lt;Input!$B$6,(Input!$B$46+IF(Input!$B$47=1,0,C8-Input!$B$46))*(1+Input!$B$39)^(A8-Input!$B$7),0)</f>
        <v>0</v>
      </c>
    </row>
    <row r="9" customFormat="false" ht="15" hidden="false" customHeight="false" outlineLevel="0" collapsed="false">
      <c r="A9" s="21" t="n">
        <v>4</v>
      </c>
      <c r="B9" s="22" t="n">
        <f aca="false">Input!$B$5+A9</f>
        <v>41</v>
      </c>
      <c r="C9" s="23" t="n">
        <f aca="false">IF(B9&lt;Input!$B$6,Input!$B$28,0)</f>
        <v>0</v>
      </c>
      <c r="D9" s="23" t="n">
        <f aca="false">F8</f>
        <v>0</v>
      </c>
      <c r="E9" s="23" t="n">
        <f aca="false">(D9+C9)*(Input!$B$29-Input!$B$30)</f>
        <v>0</v>
      </c>
      <c r="F9" s="23" t="n">
        <f aca="false">IF(B9&lt;Input!$B$6,D9+C9+E9,D9)</f>
        <v>0</v>
      </c>
      <c r="G9" s="23" t="n">
        <f aca="false">IF(B9&lt;Input!$B$6,(Input!$B$46+IF(Input!$B$47=1,0,C9-Input!$B$46))*(1+Input!$B$39)^(A9-Input!$B$7),0)</f>
        <v>0</v>
      </c>
    </row>
    <row r="10" customFormat="false" ht="15" hidden="false" customHeight="false" outlineLevel="0" collapsed="false">
      <c r="A10" s="21" t="n">
        <v>5</v>
      </c>
      <c r="B10" s="22" t="n">
        <f aca="false">Input!$B$5+A10</f>
        <v>42</v>
      </c>
      <c r="C10" s="23" t="n">
        <f aca="false">IF(B10&lt;Input!$B$6,Input!$B$28,0)</f>
        <v>0</v>
      </c>
      <c r="D10" s="23" t="n">
        <f aca="false">F9</f>
        <v>0</v>
      </c>
      <c r="E10" s="23" t="n">
        <f aca="false">(D10+C10)*(Input!$B$29-Input!$B$30)</f>
        <v>0</v>
      </c>
      <c r="F10" s="23" t="n">
        <f aca="false">IF(B10&lt;Input!$B$6,D10+C10+E10,D10)</f>
        <v>0</v>
      </c>
      <c r="G10" s="23" t="n">
        <f aca="false">IF(B10&lt;Input!$B$6,(Input!$B$46+IF(Input!$B$47=1,0,C10-Input!$B$46))*(1+Input!$B$39)^(A10-Input!$B$7),0)</f>
        <v>0</v>
      </c>
    </row>
    <row r="11" customFormat="false" ht="15" hidden="false" customHeight="false" outlineLevel="0" collapsed="false">
      <c r="A11" s="21" t="n">
        <v>6</v>
      </c>
      <c r="B11" s="22" t="n">
        <f aca="false">Input!$B$5+A11</f>
        <v>43</v>
      </c>
      <c r="C11" s="23" t="n">
        <f aca="false">IF(B11&lt;Input!$B$6,Input!$B$28,0)</f>
        <v>0</v>
      </c>
      <c r="D11" s="23" t="n">
        <f aca="false">F10</f>
        <v>0</v>
      </c>
      <c r="E11" s="23" t="n">
        <f aca="false">(D11+C11)*(Input!$B$29-Input!$B$30)</f>
        <v>0</v>
      </c>
      <c r="F11" s="23" t="n">
        <f aca="false">IF(B11&lt;Input!$B$6,D11+C11+E11,D11)</f>
        <v>0</v>
      </c>
      <c r="G11" s="23" t="n">
        <f aca="false">IF(B11&lt;Input!$B$6,(Input!$B$46+IF(Input!$B$47=1,0,C11-Input!$B$46))*(1+Input!$B$39)^(A11-Input!$B$7),0)</f>
        <v>0</v>
      </c>
    </row>
    <row r="12" customFormat="false" ht="15" hidden="false" customHeight="false" outlineLevel="0" collapsed="false">
      <c r="A12" s="21" t="n">
        <v>7</v>
      </c>
      <c r="B12" s="22" t="n">
        <f aca="false">Input!$B$5+A12</f>
        <v>44</v>
      </c>
      <c r="C12" s="23" t="n">
        <f aca="false">IF(B12&lt;Input!$B$6,Input!$B$28,0)</f>
        <v>0</v>
      </c>
      <c r="D12" s="23" t="n">
        <f aca="false">F11</f>
        <v>0</v>
      </c>
      <c r="E12" s="23" t="n">
        <f aca="false">(D12+C12)*(Input!$B$29-Input!$B$30)</f>
        <v>0</v>
      </c>
      <c r="F12" s="23" t="n">
        <f aca="false">IF(B12&lt;Input!$B$6,D12+C12+E12,D12)</f>
        <v>0</v>
      </c>
      <c r="G12" s="23" t="n">
        <f aca="false">IF(B12&lt;Input!$B$6,(Input!$B$46+IF(Input!$B$47=1,0,C12-Input!$B$46))*(1+Input!$B$39)^(A12-Input!$B$7),0)</f>
        <v>0</v>
      </c>
    </row>
    <row r="13" customFormat="false" ht="15" hidden="false" customHeight="false" outlineLevel="0" collapsed="false">
      <c r="A13" s="21" t="n">
        <v>8</v>
      </c>
      <c r="B13" s="22" t="n">
        <f aca="false">Input!$B$5+A13</f>
        <v>45</v>
      </c>
      <c r="C13" s="23" t="n">
        <f aca="false">IF(B13&lt;Input!$B$6,Input!$B$28,0)</f>
        <v>0</v>
      </c>
      <c r="D13" s="23" t="n">
        <f aca="false">F12</f>
        <v>0</v>
      </c>
      <c r="E13" s="23" t="n">
        <f aca="false">(D13+C13)*(Input!$B$29-Input!$B$30)</f>
        <v>0</v>
      </c>
      <c r="F13" s="23" t="n">
        <f aca="false">IF(B13&lt;Input!$B$6,D13+C13+E13,D13)</f>
        <v>0</v>
      </c>
      <c r="G13" s="23" t="n">
        <f aca="false">IF(B13&lt;Input!$B$6,(Input!$B$46+IF(Input!$B$47=1,0,C13-Input!$B$46))*(1+Input!$B$39)^(A13-Input!$B$7),0)</f>
        <v>0</v>
      </c>
    </row>
    <row r="14" customFormat="false" ht="15" hidden="false" customHeight="false" outlineLevel="0" collapsed="false">
      <c r="A14" s="21" t="n">
        <v>9</v>
      </c>
      <c r="B14" s="22" t="n">
        <f aca="false">Input!$B$5+A14</f>
        <v>46</v>
      </c>
      <c r="C14" s="23" t="n">
        <f aca="false">IF(B14&lt;Input!$B$6,Input!$B$28,0)</f>
        <v>0</v>
      </c>
      <c r="D14" s="23" t="n">
        <f aca="false">F13</f>
        <v>0</v>
      </c>
      <c r="E14" s="23" t="n">
        <f aca="false">(D14+C14)*(Input!$B$29-Input!$B$30)</f>
        <v>0</v>
      </c>
      <c r="F14" s="23" t="n">
        <f aca="false">IF(B14&lt;Input!$B$6,D14+C14+E14,D14)</f>
        <v>0</v>
      </c>
      <c r="G14" s="23" t="n">
        <f aca="false">IF(B14&lt;Input!$B$6,(Input!$B$46+IF(Input!$B$47=1,0,C14-Input!$B$46))*(1+Input!$B$39)^(A14-Input!$B$7),0)</f>
        <v>0</v>
      </c>
    </row>
    <row r="15" customFormat="false" ht="15" hidden="false" customHeight="false" outlineLevel="0" collapsed="false">
      <c r="A15" s="21" t="n">
        <v>10</v>
      </c>
      <c r="B15" s="22" t="n">
        <f aca="false">Input!$B$5+A15</f>
        <v>47</v>
      </c>
      <c r="C15" s="23" t="n">
        <f aca="false">IF(B15&lt;Input!$B$6,Input!$B$28,0)</f>
        <v>0</v>
      </c>
      <c r="D15" s="23" t="n">
        <f aca="false">F14</f>
        <v>0</v>
      </c>
      <c r="E15" s="23" t="n">
        <f aca="false">(D15+C15)*(Input!$B$29-Input!$B$30)</f>
        <v>0</v>
      </c>
      <c r="F15" s="23" t="n">
        <f aca="false">IF(B15&lt;Input!$B$6,D15+C15+E15,D15)</f>
        <v>0</v>
      </c>
      <c r="G15" s="23" t="n">
        <f aca="false">IF(B15&lt;Input!$B$6,(Input!$B$46+IF(Input!$B$47=1,0,C15-Input!$B$46))*(1+Input!$B$39)^(A15-Input!$B$7),0)</f>
        <v>0</v>
      </c>
    </row>
    <row r="16" customFormat="false" ht="15" hidden="false" customHeight="false" outlineLevel="0" collapsed="false">
      <c r="A16" s="21" t="n">
        <v>11</v>
      </c>
      <c r="B16" s="22" t="n">
        <f aca="false">Input!$B$5+A16</f>
        <v>48</v>
      </c>
      <c r="C16" s="23" t="n">
        <f aca="false">IF(B16&lt;Input!$B$6,Input!$B$28,0)</f>
        <v>0</v>
      </c>
      <c r="D16" s="23" t="n">
        <f aca="false">F15</f>
        <v>0</v>
      </c>
      <c r="E16" s="23" t="n">
        <f aca="false">(D16+C16)*(Input!$B$29-Input!$B$30)</f>
        <v>0</v>
      </c>
      <c r="F16" s="23" t="n">
        <f aca="false">IF(B16&lt;Input!$B$6,D16+C16+E16,D16)</f>
        <v>0</v>
      </c>
      <c r="G16" s="23" t="n">
        <f aca="false">IF(B16&lt;Input!$B$6,(Input!$B$46+IF(Input!$B$47=1,0,C16-Input!$B$46))*(1+Input!$B$39)^(A16-Input!$B$7),0)</f>
        <v>0</v>
      </c>
    </row>
    <row r="17" customFormat="false" ht="15" hidden="false" customHeight="false" outlineLevel="0" collapsed="false">
      <c r="A17" s="21" t="n">
        <v>12</v>
      </c>
      <c r="B17" s="22" t="n">
        <f aca="false">Input!$B$5+A17</f>
        <v>49</v>
      </c>
      <c r="C17" s="23" t="n">
        <f aca="false">IF(B17&lt;Input!$B$6,Input!$B$28,0)</f>
        <v>0</v>
      </c>
      <c r="D17" s="23" t="n">
        <f aca="false">F16</f>
        <v>0</v>
      </c>
      <c r="E17" s="23" t="n">
        <f aca="false">(D17+C17)*(Input!$B$29-Input!$B$30)</f>
        <v>0</v>
      </c>
      <c r="F17" s="23" t="n">
        <f aca="false">IF(B17&lt;Input!$B$6,D17+C17+E17,D17)</f>
        <v>0</v>
      </c>
      <c r="G17" s="23" t="n">
        <f aca="false">IF(B17&lt;Input!$B$6,(Input!$B$46+IF(Input!$B$47=1,0,C17-Input!$B$46))*(1+Input!$B$39)^(A17-Input!$B$7),0)</f>
        <v>0</v>
      </c>
    </row>
    <row r="18" customFormat="false" ht="15" hidden="false" customHeight="false" outlineLevel="0" collapsed="false">
      <c r="A18" s="21" t="n">
        <v>13</v>
      </c>
      <c r="B18" s="22" t="n">
        <f aca="false">Input!$B$5+A18</f>
        <v>50</v>
      </c>
      <c r="C18" s="23" t="n">
        <f aca="false">IF(B18&lt;Input!$B$6,Input!$B$28,0)</f>
        <v>0</v>
      </c>
      <c r="D18" s="23" t="n">
        <f aca="false">F17</f>
        <v>0</v>
      </c>
      <c r="E18" s="23" t="n">
        <f aca="false">(D18+C18)*(Input!$B$29-Input!$B$30)</f>
        <v>0</v>
      </c>
      <c r="F18" s="23" t="n">
        <f aca="false">IF(B18&lt;Input!$B$6,D18+C18+E18,D18)</f>
        <v>0</v>
      </c>
      <c r="G18" s="23" t="n">
        <f aca="false">IF(B18&lt;Input!$B$6,(Input!$B$46+IF(Input!$B$47=1,0,C18-Input!$B$46))*(1+Input!$B$39)^(A18-Input!$B$7),0)</f>
        <v>0</v>
      </c>
    </row>
    <row r="19" customFormat="false" ht="15" hidden="false" customHeight="false" outlineLevel="0" collapsed="false">
      <c r="A19" s="21" t="n">
        <v>14</v>
      </c>
      <c r="B19" s="22" t="n">
        <f aca="false">Input!$B$5+A19</f>
        <v>51</v>
      </c>
      <c r="C19" s="23" t="n">
        <f aca="false">IF(B19&lt;Input!$B$6,Input!$B$28,0)</f>
        <v>0</v>
      </c>
      <c r="D19" s="23" t="n">
        <f aca="false">F18</f>
        <v>0</v>
      </c>
      <c r="E19" s="23" t="n">
        <f aca="false">(D19+C19)*(Input!$B$29-Input!$B$30)</f>
        <v>0</v>
      </c>
      <c r="F19" s="23" t="n">
        <f aca="false">IF(B19&lt;Input!$B$6,D19+C19+E19,D19)</f>
        <v>0</v>
      </c>
      <c r="G19" s="23" t="n">
        <f aca="false">IF(B19&lt;Input!$B$6,(Input!$B$46+IF(Input!$B$47=1,0,C19-Input!$B$46))*(1+Input!$B$39)^(A19-Input!$B$7),0)</f>
        <v>0</v>
      </c>
    </row>
    <row r="20" customFormat="false" ht="15" hidden="false" customHeight="false" outlineLevel="0" collapsed="false">
      <c r="A20" s="21" t="n">
        <v>15</v>
      </c>
      <c r="B20" s="22" t="n">
        <f aca="false">Input!$B$5+A20</f>
        <v>52</v>
      </c>
      <c r="C20" s="23" t="n">
        <f aca="false">IF(B20&lt;Input!$B$6,Input!$B$28,0)</f>
        <v>0</v>
      </c>
      <c r="D20" s="23" t="n">
        <f aca="false">F19</f>
        <v>0</v>
      </c>
      <c r="E20" s="23" t="n">
        <f aca="false">(D20+C20)*(Input!$B$29-Input!$B$30)</f>
        <v>0</v>
      </c>
      <c r="F20" s="23" t="n">
        <f aca="false">IF(B20&lt;Input!$B$6,D20+C20+E20,D20)</f>
        <v>0</v>
      </c>
      <c r="G20" s="23" t="n">
        <f aca="false">IF(B20&lt;Input!$B$6,(Input!$B$46+IF(Input!$B$47=1,0,C20-Input!$B$46))*(1+Input!$B$39)^(A20-Input!$B$7),0)</f>
        <v>0</v>
      </c>
    </row>
    <row r="21" customFormat="false" ht="15" hidden="false" customHeight="false" outlineLevel="0" collapsed="false">
      <c r="A21" s="21" t="n">
        <v>16</v>
      </c>
      <c r="B21" s="22" t="n">
        <f aca="false">Input!$B$5+A21</f>
        <v>53</v>
      </c>
      <c r="C21" s="23" t="n">
        <f aca="false">IF(B21&lt;Input!$B$6,Input!$B$28,0)</f>
        <v>0</v>
      </c>
      <c r="D21" s="23" t="n">
        <f aca="false">F20</f>
        <v>0</v>
      </c>
      <c r="E21" s="23" t="n">
        <f aca="false">(D21+C21)*(Input!$B$29-Input!$B$30)</f>
        <v>0</v>
      </c>
      <c r="F21" s="23" t="n">
        <f aca="false">IF(B21&lt;Input!$B$6,D21+C21+E21,D21)</f>
        <v>0</v>
      </c>
      <c r="G21" s="23" t="n">
        <f aca="false">IF(B21&lt;Input!$B$6,(Input!$B$46+IF(Input!$B$47=1,0,C21-Input!$B$46))*(1+Input!$B$39)^(A21-Input!$B$7),0)</f>
        <v>0</v>
      </c>
    </row>
    <row r="22" customFormat="false" ht="15" hidden="false" customHeight="false" outlineLevel="0" collapsed="false">
      <c r="A22" s="21" t="n">
        <v>17</v>
      </c>
      <c r="B22" s="22" t="n">
        <f aca="false">Input!$B$5+A22</f>
        <v>54</v>
      </c>
      <c r="C22" s="23" t="n">
        <f aca="false">IF(B22&lt;Input!$B$6,Input!$B$28,0)</f>
        <v>0</v>
      </c>
      <c r="D22" s="23" t="n">
        <f aca="false">F21</f>
        <v>0</v>
      </c>
      <c r="E22" s="23" t="n">
        <f aca="false">(D22+C22)*(Input!$B$29-Input!$B$30)</f>
        <v>0</v>
      </c>
      <c r="F22" s="23" t="n">
        <f aca="false">IF(B22&lt;Input!$B$6,D22+C22+E22,D22)</f>
        <v>0</v>
      </c>
      <c r="G22" s="23" t="n">
        <f aca="false">IF(B22&lt;Input!$B$6,(Input!$B$46+IF(Input!$B$47=1,0,C22-Input!$B$46))*(1+Input!$B$39)^(A22-Input!$B$7),0)</f>
        <v>0</v>
      </c>
    </row>
    <row r="23" customFormat="false" ht="15" hidden="false" customHeight="false" outlineLevel="0" collapsed="false">
      <c r="A23" s="21" t="n">
        <v>18</v>
      </c>
      <c r="B23" s="22" t="n">
        <f aca="false">Input!$B$5+A23</f>
        <v>55</v>
      </c>
      <c r="C23" s="23" t="n">
        <f aca="false">IF(B23&lt;Input!$B$6,Input!$B$28,0)</f>
        <v>0</v>
      </c>
      <c r="D23" s="23" t="n">
        <f aca="false">F22</f>
        <v>0</v>
      </c>
      <c r="E23" s="23" t="n">
        <f aca="false">(D23+C23)*(Input!$B$29-Input!$B$30)</f>
        <v>0</v>
      </c>
      <c r="F23" s="23" t="n">
        <f aca="false">IF(B23&lt;Input!$B$6,D23+C23+E23,D23)</f>
        <v>0</v>
      </c>
      <c r="G23" s="23" t="n">
        <f aca="false">IF(B23&lt;Input!$B$6,(Input!$B$46+IF(Input!$B$47=1,0,C23-Input!$B$46))*(1+Input!$B$39)^(A23-Input!$B$7),0)</f>
        <v>0</v>
      </c>
    </row>
    <row r="24" customFormat="false" ht="15" hidden="false" customHeight="false" outlineLevel="0" collapsed="false">
      <c r="A24" s="21" t="n">
        <v>19</v>
      </c>
      <c r="B24" s="22" t="n">
        <f aca="false">Input!$B$5+A24</f>
        <v>56</v>
      </c>
      <c r="C24" s="23" t="n">
        <f aca="false">IF(B24&lt;Input!$B$6,Input!$B$28,0)</f>
        <v>0</v>
      </c>
      <c r="D24" s="23" t="n">
        <f aca="false">F23</f>
        <v>0</v>
      </c>
      <c r="E24" s="23" t="n">
        <f aca="false">(D24+C24)*(Input!$B$29-Input!$B$30)</f>
        <v>0</v>
      </c>
      <c r="F24" s="23" t="n">
        <f aca="false">IF(B24&lt;Input!$B$6,D24+C24+E24,D24)</f>
        <v>0</v>
      </c>
      <c r="G24" s="23" t="n">
        <f aca="false">IF(B24&lt;Input!$B$6,(Input!$B$46+IF(Input!$B$47=1,0,C24-Input!$B$46))*(1+Input!$B$39)^(A24-Input!$B$7),0)</f>
        <v>0</v>
      </c>
    </row>
    <row r="25" customFormat="false" ht="15" hidden="false" customHeight="false" outlineLevel="0" collapsed="false">
      <c r="A25" s="21" t="n">
        <v>20</v>
      </c>
      <c r="B25" s="22" t="n">
        <f aca="false">Input!$B$5+A25</f>
        <v>57</v>
      </c>
      <c r="C25" s="23" t="n">
        <f aca="false">IF(B25&lt;Input!$B$6,Input!$B$28,0)</f>
        <v>0</v>
      </c>
      <c r="D25" s="23" t="n">
        <f aca="false">F24</f>
        <v>0</v>
      </c>
      <c r="E25" s="23" t="n">
        <f aca="false">(D25+C25)*(Input!$B$29-Input!$B$30)</f>
        <v>0</v>
      </c>
      <c r="F25" s="23" t="n">
        <f aca="false">IF(B25&lt;Input!$B$6,D25+C25+E25,D25)</f>
        <v>0</v>
      </c>
      <c r="G25" s="23" t="n">
        <f aca="false">IF(B25&lt;Input!$B$6,(Input!$B$46+IF(Input!$B$47=1,0,C25-Input!$B$46))*(1+Input!$B$39)^(A25-Input!$B$7),0)</f>
        <v>0</v>
      </c>
    </row>
    <row r="26" customFormat="false" ht="15" hidden="false" customHeight="false" outlineLevel="0" collapsed="false">
      <c r="A26" s="21" t="n">
        <v>21</v>
      </c>
      <c r="B26" s="22" t="n">
        <f aca="false">Input!$B$5+A26</f>
        <v>58</v>
      </c>
      <c r="C26" s="23" t="n">
        <f aca="false">IF(B26&lt;Input!$B$6,Input!$B$28,0)</f>
        <v>0</v>
      </c>
      <c r="D26" s="23" t="n">
        <f aca="false">F25</f>
        <v>0</v>
      </c>
      <c r="E26" s="23" t="n">
        <f aca="false">(D26+C26)*(Input!$B$29-Input!$B$30)</f>
        <v>0</v>
      </c>
      <c r="F26" s="23" t="n">
        <f aca="false">IF(B26&lt;Input!$B$6,D26+C26+E26,D26)</f>
        <v>0</v>
      </c>
      <c r="G26" s="23" t="n">
        <f aca="false">IF(B26&lt;Input!$B$6,(Input!$B$46+IF(Input!$B$47=1,0,C26-Input!$B$46))*(1+Input!$B$39)^(A26-Input!$B$7),0)</f>
        <v>0</v>
      </c>
    </row>
    <row r="27" customFormat="false" ht="15" hidden="false" customHeight="false" outlineLevel="0" collapsed="false">
      <c r="A27" s="21" t="n">
        <v>22</v>
      </c>
      <c r="B27" s="22" t="n">
        <f aca="false">Input!$B$5+A27</f>
        <v>59</v>
      </c>
      <c r="C27" s="23" t="n">
        <f aca="false">IF(B27&lt;Input!$B$6,Input!$B$28,0)</f>
        <v>0</v>
      </c>
      <c r="D27" s="23" t="n">
        <f aca="false">F26</f>
        <v>0</v>
      </c>
      <c r="E27" s="23" t="n">
        <f aca="false">(D27+C27)*(Input!$B$29-Input!$B$30)</f>
        <v>0</v>
      </c>
      <c r="F27" s="23" t="n">
        <f aca="false">IF(B27&lt;Input!$B$6,D27+C27+E27,D27)</f>
        <v>0</v>
      </c>
      <c r="G27" s="23" t="n">
        <f aca="false">IF(B27&lt;Input!$B$6,(Input!$B$46+IF(Input!$B$47=1,0,C27-Input!$B$46))*(1+Input!$B$39)^(A27-Input!$B$7),0)</f>
        <v>0</v>
      </c>
    </row>
    <row r="28" customFormat="false" ht="15" hidden="false" customHeight="false" outlineLevel="0" collapsed="false">
      <c r="A28" s="21" t="n">
        <v>23</v>
      </c>
      <c r="B28" s="22" t="n">
        <f aca="false">Input!$B$5+A28</f>
        <v>60</v>
      </c>
      <c r="C28" s="23" t="n">
        <f aca="false">IF(B28&lt;Input!$B$6,Input!$B$28,0)</f>
        <v>0</v>
      </c>
      <c r="D28" s="23" t="n">
        <f aca="false">F27</f>
        <v>0</v>
      </c>
      <c r="E28" s="23" t="n">
        <f aca="false">(D28+C28)*(Input!$B$29-Input!$B$30)</f>
        <v>0</v>
      </c>
      <c r="F28" s="23" t="n">
        <f aca="false">IF(B28&lt;Input!$B$6,D28+C28+E28,D28)</f>
        <v>0</v>
      </c>
      <c r="G28" s="23" t="n">
        <f aca="false">IF(B28&lt;Input!$B$6,(Input!$B$46+IF(Input!$B$47=1,0,C28-Input!$B$46))*(1+Input!$B$39)^(A28-Input!$B$7),0)</f>
        <v>0</v>
      </c>
    </row>
    <row r="29" customFormat="false" ht="15" hidden="false" customHeight="false" outlineLevel="0" collapsed="false">
      <c r="A29" s="21" t="n">
        <v>24</v>
      </c>
      <c r="B29" s="22" t="n">
        <f aca="false">Input!$B$5+A29</f>
        <v>61</v>
      </c>
      <c r="C29" s="23" t="n">
        <f aca="false">IF(B29&lt;Input!$B$6,Input!$B$28,0)</f>
        <v>0</v>
      </c>
      <c r="D29" s="23" t="n">
        <f aca="false">F28</f>
        <v>0</v>
      </c>
      <c r="E29" s="23" t="n">
        <f aca="false">(D29+C29)*(Input!$B$29-Input!$B$30)</f>
        <v>0</v>
      </c>
      <c r="F29" s="23" t="n">
        <f aca="false">IF(B29&lt;Input!$B$6,D29+C29+E29,D29)</f>
        <v>0</v>
      </c>
      <c r="G29" s="23" t="n">
        <f aca="false">IF(B29&lt;Input!$B$6,(Input!$B$46+IF(Input!$B$47=1,0,C29-Input!$B$46))*(1+Input!$B$39)^(A29-Input!$B$7),0)</f>
        <v>0</v>
      </c>
    </row>
    <row r="30" customFormat="false" ht="15" hidden="false" customHeight="false" outlineLevel="0" collapsed="false">
      <c r="A30" s="21" t="n">
        <v>25</v>
      </c>
      <c r="B30" s="22" t="n">
        <f aca="false">Input!$B$5+A30</f>
        <v>62</v>
      </c>
      <c r="C30" s="23" t="n">
        <f aca="false">IF(B30&lt;Input!$B$6,Input!$B$28,0)</f>
        <v>0</v>
      </c>
      <c r="D30" s="23" t="n">
        <f aca="false">F29</f>
        <v>0</v>
      </c>
      <c r="E30" s="23" t="n">
        <f aca="false">(D30+C30)*(Input!$B$29-Input!$B$30)</f>
        <v>0</v>
      </c>
      <c r="F30" s="23" t="n">
        <f aca="false">IF(B30&lt;Input!$B$6,D30+C30+E30,D30)</f>
        <v>0</v>
      </c>
      <c r="G30" s="23" t="n">
        <f aca="false">IF(B30&lt;Input!$B$6,(Input!$B$46+IF(Input!$B$47=1,0,C30-Input!$B$46))*(1+Input!$B$39)^(A30-Input!$B$7),0)</f>
        <v>0</v>
      </c>
    </row>
    <row r="31" customFormat="false" ht="15" hidden="false" customHeight="false" outlineLevel="0" collapsed="false">
      <c r="A31" s="21" t="n">
        <v>26</v>
      </c>
      <c r="B31" s="22" t="n">
        <f aca="false">Input!$B$5+A31</f>
        <v>63</v>
      </c>
      <c r="C31" s="23" t="n">
        <f aca="false">IF(B31&lt;Input!$B$6,Input!$B$28,0)</f>
        <v>0</v>
      </c>
      <c r="D31" s="23" t="n">
        <f aca="false">F30</f>
        <v>0</v>
      </c>
      <c r="E31" s="23" t="n">
        <f aca="false">(D31+C31)*(Input!$B$29-Input!$B$30)</f>
        <v>0</v>
      </c>
      <c r="F31" s="23" t="n">
        <f aca="false">IF(B31&lt;Input!$B$6,D31+C31+E31,D31)</f>
        <v>0</v>
      </c>
      <c r="G31" s="23" t="n">
        <f aca="false">IF(B31&lt;Input!$B$6,(Input!$B$46+IF(Input!$B$47=1,0,C31-Input!$B$46))*(1+Input!$B$39)^(A31-Input!$B$7),0)</f>
        <v>0</v>
      </c>
    </row>
    <row r="32" customFormat="false" ht="15" hidden="false" customHeight="false" outlineLevel="0" collapsed="false">
      <c r="A32" s="21" t="n">
        <v>27</v>
      </c>
      <c r="B32" s="22" t="n">
        <f aca="false">Input!$B$5+A32</f>
        <v>64</v>
      </c>
      <c r="C32" s="23" t="n">
        <f aca="false">IF(B32&lt;Input!$B$6,Input!$B$28,0)</f>
        <v>0</v>
      </c>
      <c r="D32" s="23" t="n">
        <f aca="false">F31</f>
        <v>0</v>
      </c>
      <c r="E32" s="23" t="n">
        <f aca="false">(D32+C32)*(Input!$B$29-Input!$B$30)</f>
        <v>0</v>
      </c>
      <c r="F32" s="23" t="n">
        <f aca="false">IF(B32&lt;Input!$B$6,D32+C32+E32,D32)</f>
        <v>0</v>
      </c>
      <c r="G32" s="23" t="n">
        <f aca="false">IF(B32&lt;Input!$B$6,(Input!$B$46+IF(Input!$B$47=1,0,C32-Input!$B$46))*(1+Input!$B$39)^(A32-Input!$B$7),0)</f>
        <v>0</v>
      </c>
    </row>
    <row r="33" customFormat="false" ht="15" hidden="false" customHeight="false" outlineLevel="0" collapsed="false">
      <c r="A33" s="21" t="n">
        <v>28</v>
      </c>
      <c r="B33" s="22" t="n">
        <f aca="false">Input!$B$5+A33</f>
        <v>65</v>
      </c>
      <c r="C33" s="23" t="n">
        <f aca="false">IF(B33&lt;Input!$B$6,Input!$B$28,0)</f>
        <v>0</v>
      </c>
      <c r="D33" s="23" t="n">
        <f aca="false">F32</f>
        <v>0</v>
      </c>
      <c r="E33" s="23" t="n">
        <f aca="false">(D33+C33)*(Input!$B$29-Input!$B$30)</f>
        <v>0</v>
      </c>
      <c r="F33" s="23" t="n">
        <f aca="false">IF(B33&lt;Input!$B$6,D33+C33+E33,D33)</f>
        <v>0</v>
      </c>
      <c r="G33" s="23" t="n">
        <f aca="false">IF(B33&lt;Input!$B$6,(Input!$B$46+IF(Input!$B$47=1,0,C33-Input!$B$46))*(1+Input!$B$39)^(A33-Input!$B$7),0)</f>
        <v>0</v>
      </c>
    </row>
    <row r="34" customFormat="false" ht="15" hidden="false" customHeight="false" outlineLevel="0" collapsed="false">
      <c r="A34" s="21" t="n">
        <v>29</v>
      </c>
      <c r="B34" s="22" t="n">
        <f aca="false">Input!$B$5+A34</f>
        <v>66</v>
      </c>
      <c r="C34" s="23" t="n">
        <f aca="false">IF(B34&lt;Input!$B$6,Input!$B$28,0)</f>
        <v>0</v>
      </c>
      <c r="D34" s="23" t="n">
        <f aca="false">F33</f>
        <v>0</v>
      </c>
      <c r="E34" s="23" t="n">
        <f aca="false">(D34+C34)*(Input!$B$29-Input!$B$30)</f>
        <v>0</v>
      </c>
      <c r="F34" s="23" t="n">
        <f aca="false">IF(B34&lt;Input!$B$6,D34+C34+E34,D34)</f>
        <v>0</v>
      </c>
      <c r="G34" s="23" t="n">
        <f aca="false">IF(B34&lt;Input!$B$6,(Input!$B$46+IF(Input!$B$47=1,0,C34-Input!$B$46))*(1+Input!$B$39)^(A34-Input!$B$7),0)</f>
        <v>0</v>
      </c>
    </row>
    <row r="35" customFormat="false" ht="15" hidden="false" customHeight="false" outlineLevel="0" collapsed="false">
      <c r="A35" s="21" t="n">
        <v>30</v>
      </c>
      <c r="B35" s="22" t="n">
        <f aca="false">Input!$B$5+A35</f>
        <v>67</v>
      </c>
      <c r="C35" s="23" t="n">
        <f aca="false">IF(B35&lt;Input!$B$6,Input!$B$28,0)</f>
        <v>0</v>
      </c>
      <c r="D35" s="23" t="n">
        <f aca="false">F34</f>
        <v>0</v>
      </c>
      <c r="E35" s="23" t="n">
        <f aca="false">(D35+C35)*(Input!$B$29-Input!$B$30)</f>
        <v>0</v>
      </c>
      <c r="F35" s="23" t="n">
        <f aca="false">IF(B35&lt;Input!$B$6,D35+C35+E35,D35)</f>
        <v>0</v>
      </c>
      <c r="G35" s="23" t="n">
        <f aca="false">IF(B35&lt;Input!$B$6,(Input!$B$46+IF(Input!$B$47=1,0,C35-Input!$B$46))*(1+Input!$B$39)^(A35-Input!$B$7),0)</f>
        <v>0</v>
      </c>
    </row>
    <row r="36" customFormat="false" ht="15" hidden="false" customHeight="false" outlineLevel="0" collapsed="false">
      <c r="A36" s="21" t="n">
        <v>31</v>
      </c>
      <c r="B36" s="22" t="n">
        <f aca="false">Input!$B$5+A36</f>
        <v>68</v>
      </c>
      <c r="C36" s="23" t="n">
        <f aca="false">IF(B36&lt;Input!$B$6,Input!$B$28,0)</f>
        <v>0</v>
      </c>
      <c r="D36" s="23" t="n">
        <f aca="false">F35</f>
        <v>0</v>
      </c>
      <c r="E36" s="23" t="n">
        <f aca="false">(D36+C36)*(Input!$B$29-Input!$B$30)</f>
        <v>0</v>
      </c>
      <c r="F36" s="23" t="n">
        <f aca="false">IF(B36&lt;Input!$B$6,D36+C36+E36,D36)</f>
        <v>0</v>
      </c>
      <c r="G36" s="23" t="n">
        <f aca="false">IF(B36&lt;Input!$B$6,(Input!$B$46+IF(Input!$B$47=1,0,C36-Input!$B$46))*(1+Input!$B$39)^(A36-Input!$B$7),0)</f>
        <v>0</v>
      </c>
    </row>
    <row r="37" customFormat="false" ht="15" hidden="false" customHeight="false" outlineLevel="0" collapsed="false">
      <c r="A37" s="21" t="n">
        <v>32</v>
      </c>
      <c r="B37" s="22" t="n">
        <f aca="false">Input!$B$5+A37</f>
        <v>69</v>
      </c>
      <c r="C37" s="23" t="n">
        <f aca="false">IF(B37&lt;Input!$B$6,Input!$B$28,0)</f>
        <v>0</v>
      </c>
      <c r="D37" s="23" t="n">
        <f aca="false">F36</f>
        <v>0</v>
      </c>
      <c r="E37" s="23" t="n">
        <f aca="false">(D37+C37)*(Input!$B$29-Input!$B$30)</f>
        <v>0</v>
      </c>
      <c r="F37" s="23" t="n">
        <f aca="false">IF(B37&lt;Input!$B$6,D37+C37+E37,D37)</f>
        <v>0</v>
      </c>
      <c r="G37" s="23" t="n">
        <f aca="false">IF(B37&lt;Input!$B$6,(Input!$B$46+IF(Input!$B$47=1,0,C37-Input!$B$46))*(1+Input!$B$39)^(A37-Input!$B$7),0)</f>
        <v>0</v>
      </c>
    </row>
    <row r="38" customFormat="false" ht="15" hidden="false" customHeight="false" outlineLevel="0" collapsed="false">
      <c r="A38" s="21" t="n">
        <v>33</v>
      </c>
      <c r="B38" s="22" t="n">
        <f aca="false">Input!$B$5+A38</f>
        <v>70</v>
      </c>
      <c r="C38" s="23" t="n">
        <f aca="false">IF(B38&lt;Input!$B$6,Input!$B$28,0)</f>
        <v>0</v>
      </c>
      <c r="D38" s="23" t="n">
        <f aca="false">F37</f>
        <v>0</v>
      </c>
      <c r="E38" s="23" t="n">
        <f aca="false">(D38+C38)*(Input!$B$29-Input!$B$30)</f>
        <v>0</v>
      </c>
      <c r="F38" s="23" t="n">
        <f aca="false">IF(B38&lt;Input!$B$6,D38+C38+E38,D38)</f>
        <v>0</v>
      </c>
      <c r="G38" s="23" t="n">
        <f aca="false">IF(B38&lt;Input!$B$6,(Input!$B$46+IF(Input!$B$47=1,0,C38-Input!$B$46))*(1+Input!$B$39)^(A38-Input!$B$7),0)</f>
        <v>0</v>
      </c>
    </row>
    <row r="39" customFormat="false" ht="15" hidden="false" customHeight="false" outlineLevel="0" collapsed="false">
      <c r="A39" s="21" t="n">
        <v>34</v>
      </c>
      <c r="B39" s="22" t="n">
        <f aca="false">Input!$B$5+A39</f>
        <v>71</v>
      </c>
      <c r="C39" s="23" t="n">
        <f aca="false">IF(B39&lt;Input!$B$6,Input!$B$28,0)</f>
        <v>0</v>
      </c>
      <c r="D39" s="23" t="n">
        <f aca="false">F38</f>
        <v>0</v>
      </c>
      <c r="E39" s="23" t="n">
        <f aca="false">(D39+C39)*(Input!$B$29-Input!$B$30)</f>
        <v>0</v>
      </c>
      <c r="F39" s="23" t="n">
        <f aca="false">IF(B39&lt;Input!$B$6,D39+C39+E39,D39)</f>
        <v>0</v>
      </c>
      <c r="G39" s="23" t="n">
        <f aca="false">IF(B39&lt;Input!$B$6,(Input!$B$46+IF(Input!$B$47=1,0,C39-Input!$B$46))*(1+Input!$B$39)^(A39-Input!$B$7),0)</f>
        <v>0</v>
      </c>
    </row>
    <row r="40" customFormat="false" ht="15" hidden="false" customHeight="false" outlineLevel="0" collapsed="false">
      <c r="A40" s="21" t="n">
        <v>35</v>
      </c>
      <c r="B40" s="22" t="n">
        <f aca="false">Input!$B$5+A40</f>
        <v>72</v>
      </c>
      <c r="C40" s="23" t="n">
        <f aca="false">IF(B40&lt;Input!$B$6,Input!$B$28,0)</f>
        <v>0</v>
      </c>
      <c r="D40" s="23" t="n">
        <f aca="false">F39</f>
        <v>0</v>
      </c>
      <c r="E40" s="23" t="n">
        <f aca="false">(D40+C40)*(Input!$B$29-Input!$B$30)</f>
        <v>0</v>
      </c>
      <c r="F40" s="23" t="n">
        <f aca="false">IF(B40&lt;Input!$B$6,D40+C40+E40,D40)</f>
        <v>0</v>
      </c>
      <c r="G40" s="23" t="n">
        <f aca="false">IF(B40&lt;Input!$B$6,(Input!$B$46+IF(Input!$B$47=1,0,C40-Input!$B$46))*(1+Input!$B$39)^(A40-Input!$B$7),0)</f>
        <v>0</v>
      </c>
    </row>
    <row r="41" customFormat="false" ht="15" hidden="false" customHeight="false" outlineLevel="0" collapsed="false">
      <c r="A41" s="21" t="n">
        <v>36</v>
      </c>
      <c r="B41" s="22" t="n">
        <f aca="false">Input!$B$5+A41</f>
        <v>73</v>
      </c>
      <c r="C41" s="23" t="n">
        <f aca="false">IF(B41&lt;Input!$B$6,Input!$B$28,0)</f>
        <v>0</v>
      </c>
      <c r="D41" s="23" t="n">
        <f aca="false">F40</f>
        <v>0</v>
      </c>
      <c r="E41" s="23" t="n">
        <f aca="false">(D41+C41)*(Input!$B$29-Input!$B$30)</f>
        <v>0</v>
      </c>
      <c r="F41" s="23" t="n">
        <f aca="false">IF(B41&lt;Input!$B$6,D41+C41+E41,D41)</f>
        <v>0</v>
      </c>
      <c r="G41" s="23" t="n">
        <f aca="false">IF(B41&lt;Input!$B$6,(Input!$B$46+IF(Input!$B$47=1,0,C41-Input!$B$46))*(1+Input!$B$39)^(A41-Input!$B$7),0)</f>
        <v>0</v>
      </c>
    </row>
    <row r="42" customFormat="false" ht="15" hidden="false" customHeight="false" outlineLevel="0" collapsed="false">
      <c r="A42" s="21" t="n">
        <v>37</v>
      </c>
      <c r="B42" s="22" t="n">
        <f aca="false">Input!$B$5+A42</f>
        <v>74</v>
      </c>
      <c r="C42" s="23" t="n">
        <f aca="false">IF(B42&lt;Input!$B$6,Input!$B$28,0)</f>
        <v>0</v>
      </c>
      <c r="D42" s="23" t="n">
        <f aca="false">F41</f>
        <v>0</v>
      </c>
      <c r="E42" s="23" t="n">
        <f aca="false">(D42+C42)*(Input!$B$29-Input!$B$30)</f>
        <v>0</v>
      </c>
      <c r="F42" s="23" t="n">
        <f aca="false">IF(B42&lt;Input!$B$6,D42+C42+E42,D42)</f>
        <v>0</v>
      </c>
      <c r="G42" s="23" t="n">
        <f aca="false">IF(B42&lt;Input!$B$6,(Input!$B$46+IF(Input!$B$47=1,0,C42-Input!$B$46))*(1+Input!$B$39)^(A42-Input!$B$7),0)</f>
        <v>0</v>
      </c>
    </row>
    <row r="43" customFormat="false" ht="15" hidden="false" customHeight="false" outlineLevel="0" collapsed="false">
      <c r="A43" s="21" t="n">
        <v>38</v>
      </c>
      <c r="B43" s="22" t="n">
        <f aca="false">Input!$B$5+A43</f>
        <v>75</v>
      </c>
      <c r="C43" s="23" t="n">
        <f aca="false">IF(B43&lt;Input!$B$6,Input!$B$28,0)</f>
        <v>0</v>
      </c>
      <c r="D43" s="23" t="n">
        <f aca="false">F42</f>
        <v>0</v>
      </c>
      <c r="E43" s="23" t="n">
        <f aca="false">(D43+C43)*(Input!$B$29-Input!$B$30)</f>
        <v>0</v>
      </c>
      <c r="F43" s="23" t="n">
        <f aca="false">IF(B43&lt;Input!$B$6,D43+C43+E43,D43)</f>
        <v>0</v>
      </c>
      <c r="G43" s="23" t="n">
        <f aca="false">IF(B43&lt;Input!$B$6,(Input!$B$46+IF(Input!$B$47=1,0,C43-Input!$B$46))*(1+Input!$B$39)^(A43-Input!$B$7),0)</f>
        <v>0</v>
      </c>
    </row>
    <row r="44" customFormat="false" ht="15" hidden="false" customHeight="false" outlineLevel="0" collapsed="false">
      <c r="A44" s="21" t="n">
        <v>39</v>
      </c>
      <c r="B44" s="22" t="n">
        <f aca="false">Input!$B$5+A44</f>
        <v>76</v>
      </c>
      <c r="C44" s="23" t="n">
        <f aca="false">IF(B44&lt;Input!$B$6,Input!$B$28,0)</f>
        <v>0</v>
      </c>
      <c r="D44" s="23" t="n">
        <f aca="false">F43</f>
        <v>0</v>
      </c>
      <c r="E44" s="23" t="n">
        <f aca="false">(D44+C44)*(Input!$B$29-Input!$B$30)</f>
        <v>0</v>
      </c>
      <c r="F44" s="23" t="n">
        <f aca="false">IF(B44&lt;Input!$B$6,D44+C44+E44,D44)</f>
        <v>0</v>
      </c>
      <c r="G44" s="23" t="n">
        <f aca="false">IF(B44&lt;Input!$B$6,(Input!$B$46+IF(Input!$B$47=1,0,C44-Input!$B$46))*(1+Input!$B$39)^(A44-Input!$B$7),0)</f>
        <v>0</v>
      </c>
    </row>
    <row r="45" customFormat="false" ht="15" hidden="false" customHeight="false" outlineLevel="0" collapsed="false">
      <c r="A45" s="21" t="n">
        <v>40</v>
      </c>
      <c r="B45" s="22" t="n">
        <f aca="false">Input!$B$5+A45</f>
        <v>77</v>
      </c>
      <c r="C45" s="23" t="n">
        <f aca="false">IF(B45&lt;Input!$B$6,Input!$B$28,0)</f>
        <v>0</v>
      </c>
      <c r="D45" s="23" t="n">
        <f aca="false">F44</f>
        <v>0</v>
      </c>
      <c r="E45" s="23" t="n">
        <f aca="false">(D45+C45)*(Input!$B$29-Input!$B$30)</f>
        <v>0</v>
      </c>
      <c r="F45" s="23" t="n">
        <f aca="false">IF(B45&lt;Input!$B$6,D45+C45+E45,D45)</f>
        <v>0</v>
      </c>
      <c r="G45" s="23" t="n">
        <f aca="false">IF(B45&lt;Input!$B$6,(Input!$B$46+IF(Input!$B$47=1,0,C45-Input!$B$46))*(1+Input!$B$39)^(A45-Input!$B$7),0)</f>
        <v>0</v>
      </c>
    </row>
    <row r="46" customFormat="false" ht="15" hidden="false" customHeight="false" outlineLevel="0" collapsed="false">
      <c r="A46" s="21" t="n">
        <v>41</v>
      </c>
      <c r="B46" s="22" t="n">
        <f aca="false">Input!$B$5+A46</f>
        <v>78</v>
      </c>
      <c r="C46" s="23" t="n">
        <f aca="false">IF(B46&lt;Input!$B$6,Input!$B$28,0)</f>
        <v>0</v>
      </c>
      <c r="D46" s="23" t="n">
        <f aca="false">F45</f>
        <v>0</v>
      </c>
      <c r="E46" s="23" t="n">
        <f aca="false">(D46+C46)*(Input!$B$29-Input!$B$30)</f>
        <v>0</v>
      </c>
      <c r="F46" s="23" t="n">
        <f aca="false">IF(B46&lt;Input!$B$6,D46+C46+E46,D46)</f>
        <v>0</v>
      </c>
      <c r="G46" s="23" t="n">
        <f aca="false">IF(B46&lt;Input!$B$6,(Input!$B$46+IF(Input!$B$47=1,0,C46-Input!$B$46))*(1+Input!$B$39)^(A46-Input!$B$7),0)</f>
        <v>0</v>
      </c>
    </row>
    <row r="47" customFormat="false" ht="15" hidden="false" customHeight="false" outlineLevel="0" collapsed="false">
      <c r="A47" s="21" t="n">
        <v>42</v>
      </c>
      <c r="B47" s="22" t="n">
        <f aca="false">Input!$B$5+A47</f>
        <v>79</v>
      </c>
      <c r="C47" s="23" t="n">
        <f aca="false">IF(B47&lt;Input!$B$6,Input!$B$28,0)</f>
        <v>0</v>
      </c>
      <c r="D47" s="23" t="n">
        <f aca="false">F46</f>
        <v>0</v>
      </c>
      <c r="E47" s="23" t="n">
        <f aca="false">(D47+C47)*(Input!$B$29-Input!$B$30)</f>
        <v>0</v>
      </c>
      <c r="F47" s="23" t="n">
        <f aca="false">IF(B47&lt;Input!$B$6,D47+C47+E47,D47)</f>
        <v>0</v>
      </c>
      <c r="G47" s="23" t="n">
        <f aca="false">IF(B47&lt;Input!$B$6,(Input!$B$46+IF(Input!$B$47=1,0,C47-Input!$B$46))*(1+Input!$B$39)^(A47-Input!$B$7),0)</f>
        <v>0</v>
      </c>
    </row>
    <row r="48" customFormat="false" ht="15" hidden="false" customHeight="false" outlineLevel="0" collapsed="false">
      <c r="A48" s="21" t="n">
        <v>43</v>
      </c>
      <c r="B48" s="22" t="n">
        <f aca="false">Input!$B$5+A48</f>
        <v>80</v>
      </c>
      <c r="C48" s="23" t="n">
        <f aca="false">IF(B48&lt;Input!$B$6,Input!$B$28,0)</f>
        <v>0</v>
      </c>
      <c r="D48" s="23" t="n">
        <f aca="false">F47</f>
        <v>0</v>
      </c>
      <c r="E48" s="23" t="n">
        <f aca="false">(D48+C48)*(Input!$B$29-Input!$B$30)</f>
        <v>0</v>
      </c>
      <c r="F48" s="23" t="n">
        <f aca="false">IF(B48&lt;Input!$B$6,D48+C48+E48,D48)</f>
        <v>0</v>
      </c>
      <c r="G48" s="23" t="n">
        <f aca="false">IF(B48&lt;Input!$B$6,(Input!$B$46+IF(Input!$B$47=1,0,C48-Input!$B$46))*(1+Input!$B$39)^(A48-Input!$B$7),0)</f>
        <v>0</v>
      </c>
    </row>
    <row r="49" customFormat="false" ht="15" hidden="false" customHeight="false" outlineLevel="0" collapsed="false">
      <c r="A49" s="21" t="n">
        <v>44</v>
      </c>
      <c r="B49" s="22" t="n">
        <f aca="false">Input!$B$5+A49</f>
        <v>81</v>
      </c>
      <c r="C49" s="23" t="n">
        <f aca="false">IF(B49&lt;Input!$B$6,Input!$B$28,0)</f>
        <v>0</v>
      </c>
      <c r="D49" s="23" t="n">
        <f aca="false">F48</f>
        <v>0</v>
      </c>
      <c r="E49" s="23" t="n">
        <f aca="false">(D49+C49)*(Input!$B$29-Input!$B$30)</f>
        <v>0</v>
      </c>
      <c r="F49" s="23" t="n">
        <f aca="false">IF(B49&lt;Input!$B$6,D49+C49+E49,D49)</f>
        <v>0</v>
      </c>
      <c r="G49" s="23" t="n">
        <f aca="false">IF(B49&lt;Input!$B$6,(Input!$B$46+IF(Input!$B$47=1,0,C49-Input!$B$46))*(1+Input!$B$39)^(A49-Input!$B$7),0)</f>
        <v>0</v>
      </c>
    </row>
    <row r="50" customFormat="false" ht="15" hidden="false" customHeight="false" outlineLevel="0" collapsed="false">
      <c r="A50" s="21" t="n">
        <v>45</v>
      </c>
      <c r="B50" s="22" t="n">
        <f aca="false">Input!$B$5+A50</f>
        <v>82</v>
      </c>
      <c r="C50" s="23" t="n">
        <f aca="false">IF(B50&lt;Input!$B$6,Input!$B$28,0)</f>
        <v>0</v>
      </c>
      <c r="D50" s="23" t="n">
        <f aca="false">F49</f>
        <v>0</v>
      </c>
      <c r="E50" s="23" t="n">
        <f aca="false">(D50+C50)*(Input!$B$29-Input!$B$30)</f>
        <v>0</v>
      </c>
      <c r="F50" s="23" t="n">
        <f aca="false">IF(B50&lt;Input!$B$6,D50+C50+E50,D50)</f>
        <v>0</v>
      </c>
      <c r="G50" s="23" t="n">
        <f aca="false">IF(B50&lt;Input!$B$6,(Input!$B$46+IF(Input!$B$47=1,0,C50-Input!$B$46))*(1+Input!$B$39)^(A50-Input!$B$7),0)</f>
        <v>0</v>
      </c>
    </row>
    <row r="51" customFormat="false" ht="15" hidden="false" customHeight="false" outlineLevel="0" collapsed="false">
      <c r="A51" s="21" t="n">
        <v>46</v>
      </c>
      <c r="B51" s="22" t="n">
        <f aca="false">Input!$B$5+A51</f>
        <v>83</v>
      </c>
      <c r="C51" s="23" t="n">
        <f aca="false">IF(B51&lt;Input!$B$6,Input!$B$28,0)</f>
        <v>0</v>
      </c>
      <c r="D51" s="23" t="n">
        <f aca="false">F50</f>
        <v>0</v>
      </c>
      <c r="E51" s="23" t="n">
        <f aca="false">(D51+C51)*(Input!$B$29-Input!$B$30)</f>
        <v>0</v>
      </c>
      <c r="F51" s="23" t="n">
        <f aca="false">IF(B51&lt;Input!$B$6,D51+C51+E51,D51)</f>
        <v>0</v>
      </c>
      <c r="G51" s="23" t="n">
        <f aca="false">IF(B51&lt;Input!$B$6,(Input!$B$46+IF(Input!$B$47=1,0,C51-Input!$B$46))*(1+Input!$B$39)^(A51-Input!$B$7),0)</f>
        <v>0</v>
      </c>
    </row>
    <row r="52" customFormat="false" ht="15" hidden="false" customHeight="false" outlineLevel="0" collapsed="false">
      <c r="A52" s="21" t="n">
        <v>47</v>
      </c>
      <c r="B52" s="22" t="n">
        <f aca="false">Input!$B$5+A52</f>
        <v>84</v>
      </c>
      <c r="C52" s="23" t="n">
        <f aca="false">IF(B52&lt;Input!$B$6,Input!$B$28,0)</f>
        <v>0</v>
      </c>
      <c r="D52" s="23" t="n">
        <f aca="false">F51</f>
        <v>0</v>
      </c>
      <c r="E52" s="23" t="n">
        <f aca="false">(D52+C52)*(Input!$B$29-Input!$B$30)</f>
        <v>0</v>
      </c>
      <c r="F52" s="23" t="n">
        <f aca="false">IF(B52&lt;Input!$B$6,D52+C52+E52,D52)</f>
        <v>0</v>
      </c>
      <c r="G52" s="23" t="n">
        <f aca="false">IF(B52&lt;Input!$B$6,(Input!$B$46+IF(Input!$B$47=1,0,C52-Input!$B$46))*(1+Input!$B$39)^(A52-Input!$B$7),0)</f>
        <v>0</v>
      </c>
    </row>
    <row r="53" customFormat="false" ht="15" hidden="false" customHeight="false" outlineLevel="0" collapsed="false">
      <c r="A53" s="21" t="n">
        <v>48</v>
      </c>
      <c r="B53" s="22" t="n">
        <f aca="false">Input!$B$5+A53</f>
        <v>85</v>
      </c>
      <c r="C53" s="23" t="n">
        <f aca="false">IF(B53&lt;Input!$B$6,Input!$B$28,0)</f>
        <v>0</v>
      </c>
      <c r="D53" s="23" t="n">
        <f aca="false">F52</f>
        <v>0</v>
      </c>
      <c r="E53" s="23" t="n">
        <f aca="false">(D53+C53)*(Input!$B$29-Input!$B$30)</f>
        <v>0</v>
      </c>
      <c r="F53" s="23" t="n">
        <f aca="false">IF(B53&lt;Input!$B$6,D53+C53+E53,D53)</f>
        <v>0</v>
      </c>
      <c r="G53" s="23" t="n">
        <f aca="false">IF(B53&lt;Input!$B$6,(Input!$B$46+IF(Input!$B$47=1,0,C53-Input!$B$46))*(1+Input!$B$39)^(A53-Input!$B$7),0)</f>
        <v>0</v>
      </c>
    </row>
    <row r="54" customFormat="false" ht="15" hidden="false" customHeight="false" outlineLevel="0" collapsed="false">
      <c r="A54" s="21" t="n">
        <v>49</v>
      </c>
      <c r="B54" s="22" t="n">
        <f aca="false">Input!$B$5+A54</f>
        <v>86</v>
      </c>
      <c r="C54" s="23" t="n">
        <f aca="false">IF(B54&lt;Input!$B$6,Input!$B$28,0)</f>
        <v>0</v>
      </c>
      <c r="D54" s="23" t="n">
        <f aca="false">F53</f>
        <v>0</v>
      </c>
      <c r="E54" s="23" t="n">
        <f aca="false">(D54+C54)*(Input!$B$29-Input!$B$30)</f>
        <v>0</v>
      </c>
      <c r="F54" s="23" t="n">
        <f aca="false">IF(B54&lt;Input!$B$6,D54+C54+E54,D54)</f>
        <v>0</v>
      </c>
      <c r="G54" s="23" t="n">
        <f aca="false">IF(B54&lt;Input!$B$6,(Input!$B$46+IF(Input!$B$47=1,0,C54-Input!$B$46))*(1+Input!$B$39)^(A54-Input!$B$7),0)</f>
        <v>0</v>
      </c>
    </row>
    <row r="57" customFormat="false" ht="15" hidden="false" customHeight="false" outlineLevel="0" collapsed="false">
      <c r="A57" s="4" t="s">
        <v>138</v>
      </c>
      <c r="B57" s="4"/>
      <c r="C57" s="4"/>
      <c r="D57" s="4"/>
      <c r="E57" s="4"/>
      <c r="F57" s="4"/>
    </row>
    <row r="58" customFormat="false" ht="15" hidden="false" customHeight="false" outlineLevel="0" collapsed="false">
      <c r="A58" s="5" t="s">
        <v>139</v>
      </c>
      <c r="B58" s="25" t="n">
        <f aca="false">INDEX(F5:F54,MATCH(Input!$B$6-1,B5:B54,0))</f>
        <v>0</v>
      </c>
    </row>
    <row r="59" customFormat="false" ht="15" hidden="false" customHeight="false" outlineLevel="0" collapsed="false">
      <c r="A59" s="5" t="s">
        <v>140</v>
      </c>
      <c r="B59" s="25" t="n">
        <f aca="false">Input!$B$31+SUMIF(B5:B54,"&lt;"&amp;Input!$B$6,C5:C54)</f>
        <v>0</v>
      </c>
    </row>
    <row r="60" customFormat="false" ht="15" hidden="false" customHeight="false" outlineLevel="0" collapsed="false">
      <c r="A60" s="5" t="s">
        <v>141</v>
      </c>
      <c r="B60" s="25" t="n">
        <f aca="false">(Input!$B$31*(1+Input!$B$39)^(-Input!$B$7)+SUM(G5:G54))*Input!$B$38</f>
        <v>0</v>
      </c>
    </row>
    <row r="61" customFormat="false" ht="15" hidden="false" customHeight="false" outlineLevel="0" collapsed="false">
      <c r="A61" s="5" t="s">
        <v>142</v>
      </c>
      <c r="B61" s="27" t="n">
        <f aca="false">B58-B60</f>
        <v>0</v>
      </c>
    </row>
    <row r="62" customFormat="false" ht="15" hidden="false" customHeight="false" outlineLevel="0" collapsed="false">
      <c r="A62" s="5" t="s">
        <v>143</v>
      </c>
      <c r="B62" s="11" t="n">
        <f aca="false">B61*Input!$B$43</f>
        <v>0</v>
      </c>
    </row>
    <row r="64" customFormat="false" ht="15" hidden="false" customHeight="false" outlineLevel="0" collapsed="false">
      <c r="A64" s="32" t="s">
        <v>144</v>
      </c>
      <c r="B64" s="32"/>
      <c r="C64" s="32"/>
      <c r="D64" s="32"/>
      <c r="E64" s="32"/>
      <c r="F64" s="32"/>
    </row>
    <row r="65" customFormat="false" ht="15" hidden="false" customHeight="false" outlineLevel="0" collapsed="false">
      <c r="A65" s="32" t="s">
        <v>145</v>
      </c>
      <c r="B65" s="32"/>
      <c r="C65" s="32"/>
      <c r="D65" s="32"/>
      <c r="E65" s="32"/>
      <c r="F65" s="32"/>
    </row>
    <row r="66" customFormat="false" ht="15" hidden="false" customHeight="false" outlineLevel="0" collapsed="false">
      <c r="A66" s="32" t="s">
        <v>146</v>
      </c>
      <c r="B66" s="32"/>
      <c r="C66" s="32"/>
      <c r="D66" s="32"/>
      <c r="E66" s="32"/>
      <c r="F66" s="32"/>
    </row>
    <row r="67" customFormat="false" ht="15" hidden="false" customHeight="false" outlineLevel="0" collapsed="false">
      <c r="A67" s="32" t="s">
        <v>147</v>
      </c>
      <c r="B67" s="32"/>
      <c r="C67" s="32"/>
      <c r="D67" s="32"/>
      <c r="E67" s="32"/>
      <c r="F67" s="32"/>
    </row>
  </sheetData>
  <mergeCells count="7">
    <mergeCell ref="A1:F1"/>
    <mergeCell ref="A2:F2"/>
    <mergeCell ref="A57:F57"/>
    <mergeCell ref="A64:F64"/>
    <mergeCell ref="A65:F65"/>
    <mergeCell ref="A66:F66"/>
    <mergeCell ref="A67:F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30"/>
  </cols>
  <sheetData>
    <row r="1" customFormat="false" ht="17.35" hidden="false" customHeight="false" outlineLevel="0" collapsed="false">
      <c r="A1" s="2" t="s">
        <v>148</v>
      </c>
      <c r="B1" s="2"/>
      <c r="C1" s="2"/>
      <c r="D1" s="2"/>
    </row>
    <row r="2" customFormat="false" ht="15" hidden="false" customHeight="false" outlineLevel="0" collapsed="false">
      <c r="A2" s="3" t="s">
        <v>149</v>
      </c>
      <c r="B2" s="3"/>
      <c r="C2" s="3"/>
      <c r="D2" s="3"/>
    </row>
    <row r="4" customFormat="false" ht="15" hidden="false" customHeight="false" outlineLevel="0" collapsed="false">
      <c r="A4" s="4" t="s">
        <v>150</v>
      </c>
      <c r="B4" s="4"/>
      <c r="C4" s="4"/>
      <c r="D4" s="4"/>
    </row>
    <row r="5" customFormat="false" ht="15" hidden="false" customHeight="false" outlineLevel="0" collapsed="false">
      <c r="A5" s="5" t="s">
        <v>9</v>
      </c>
      <c r="B5" s="25" t="n">
        <f aca="false">Previdenza!B60</f>
        <v>14192.8025058381</v>
      </c>
    </row>
    <row r="6" customFormat="false" ht="15" hidden="false" customHeight="false" outlineLevel="0" collapsed="false">
      <c r="A6" s="5" t="s">
        <v>151</v>
      </c>
      <c r="B6" s="25" t="n">
        <f aca="false">Complementare!B62</f>
        <v>0</v>
      </c>
    </row>
    <row r="7" customFormat="false" ht="15" hidden="false" customHeight="false" outlineLevel="0" collapsed="false">
      <c r="A7" s="19" t="s">
        <v>152</v>
      </c>
      <c r="B7" s="27" t="n">
        <f aca="false">B5+B6</f>
        <v>14192.8025058381</v>
      </c>
    </row>
    <row r="8" customFormat="false" ht="15" hidden="false" customHeight="false" outlineLevel="0" collapsed="false">
      <c r="A8" s="5" t="s">
        <v>153</v>
      </c>
      <c r="B8" s="11" t="n">
        <f aca="false">B7/13</f>
        <v>1091.75403891063</v>
      </c>
    </row>
    <row r="9" customFormat="false" ht="15" hidden="false" customHeight="true" outlineLevel="0" collapsed="false">
      <c r="A9" s="19" t="s">
        <v>154</v>
      </c>
      <c r="B9" s="27" t="n">
        <f aca="false">Previdenza!B67+Complementare!B62</f>
        <v>12233.2189488747</v>
      </c>
    </row>
    <row r="10" customFormat="false" ht="15" hidden="false" customHeight="false" outlineLevel="0" collapsed="false">
      <c r="A10" s="4" t="s">
        <v>155</v>
      </c>
      <c r="B10" s="4"/>
      <c r="C10" s="4"/>
      <c r="D10" s="4"/>
    </row>
    <row r="11" customFormat="false" ht="15" hidden="false" customHeight="false" outlineLevel="0" collapsed="false">
      <c r="A11" s="5" t="s">
        <v>156</v>
      </c>
      <c r="B11" s="25" t="n">
        <f aca="false">Previdenza!B62</f>
        <v>41636.5209488977</v>
      </c>
    </row>
    <row r="12" customFormat="false" ht="15" hidden="false" customHeight="false" outlineLevel="0" collapsed="false">
      <c r="A12" s="5" t="s">
        <v>157</v>
      </c>
      <c r="B12" s="12" t="n">
        <f aca="false">IF(B11&gt;0,B5/B11,0)</f>
        <v>0.340873881447914</v>
      </c>
    </row>
    <row r="13" customFormat="false" ht="15" hidden="false" customHeight="false" outlineLevel="0" collapsed="false">
      <c r="A13" s="19" t="s">
        <v>158</v>
      </c>
      <c r="B13" s="28" t="n">
        <f aca="false">IF(B11&gt;0,B7/B11,0)</f>
        <v>0.340873881447914</v>
      </c>
    </row>
    <row r="14" customFormat="false" ht="15" hidden="false" customHeight="false" outlineLevel="0" collapsed="false">
      <c r="A14" s="19" t="s">
        <v>159</v>
      </c>
      <c r="B14" s="27" t="n">
        <f aca="false">MAX(0,B11-B7)</f>
        <v>27443.7184430596</v>
      </c>
      <c r="C14" s="7" t="s">
        <v>160</v>
      </c>
    </row>
    <row r="15" customFormat="false" ht="15" hidden="false" customHeight="false" outlineLevel="0" collapsed="false">
      <c r="A15" s="5" t="s">
        <v>161</v>
      </c>
      <c r="B15" s="25" t="n">
        <f aca="false">B14/13</f>
        <v>2111.05526485073</v>
      </c>
    </row>
    <row r="17" customFormat="false" ht="15" hidden="false" customHeight="false" outlineLevel="0" collapsed="false">
      <c r="A17" s="4" t="s">
        <v>162</v>
      </c>
      <c r="B17" s="4"/>
      <c r="C17" s="4"/>
      <c r="D17" s="4"/>
    </row>
    <row r="18" customFormat="false" ht="15" hidden="false" customHeight="false" outlineLevel="0" collapsed="false">
      <c r="A18" s="7" t="s">
        <v>163</v>
      </c>
    </row>
    <row r="19" customFormat="false" ht="15" hidden="false" customHeight="false" outlineLevel="0" collapsed="false">
      <c r="A19" s="15" t="s">
        <v>164</v>
      </c>
      <c r="B19" s="15" t="s">
        <v>165</v>
      </c>
      <c r="C19" s="15" t="s">
        <v>166</v>
      </c>
    </row>
    <row r="20" customFormat="false" ht="15" hidden="false" customHeight="false" outlineLevel="0" collapsed="false">
      <c r="A20" s="33" t="s">
        <v>167</v>
      </c>
      <c r="B20" s="23" t="n">
        <f aca="false">B5</f>
        <v>14192.8025058381</v>
      </c>
      <c r="C20" s="34" t="n">
        <f aca="false">IF(B11&gt;0,B5/B11,0)</f>
        <v>0.340873881447914</v>
      </c>
    </row>
    <row r="21" customFormat="false" ht="15" hidden="false" customHeight="false" outlineLevel="0" collapsed="false">
      <c r="A21" s="33" t="s">
        <v>168</v>
      </c>
      <c r="B21" s="23" t="n">
        <f aca="false">B7</f>
        <v>14192.8025058381</v>
      </c>
      <c r="C21" s="34" t="n">
        <f aca="false">IF(B11&gt;0,B7/B11,0)</f>
        <v>0.340873881447914</v>
      </c>
    </row>
    <row r="23" customFormat="false" ht="15" hidden="false" customHeight="false" outlineLevel="0" collapsed="false">
      <c r="A23" s="32" t="s">
        <v>169</v>
      </c>
      <c r="B23" s="32"/>
      <c r="C23" s="32"/>
      <c r="D23" s="32"/>
    </row>
    <row r="24" customFormat="false" ht="15" hidden="false" customHeight="false" outlineLevel="0" collapsed="false">
      <c r="A24" s="32" t="s">
        <v>170</v>
      </c>
      <c r="B24" s="32"/>
      <c r="C24" s="32"/>
      <c r="D24" s="32"/>
    </row>
    <row r="25" customFormat="false" ht="15" hidden="false" customHeight="false" outlineLevel="0" collapsed="false">
      <c r="A25" s="32" t="s">
        <v>171</v>
      </c>
      <c r="B25" s="32"/>
      <c r="C25" s="32"/>
      <c r="D25" s="32"/>
    </row>
    <row r="26" customFormat="false" ht="15" hidden="false" customHeight="false" outlineLevel="0" collapsed="false">
      <c r="A26" s="32" t="s">
        <v>172</v>
      </c>
      <c r="B26" s="32"/>
      <c r="C26" s="32"/>
      <c r="D26" s="32"/>
    </row>
    <row r="27" customFormat="false" ht="15" hidden="false" customHeight="false" outlineLevel="0" collapsed="false">
      <c r="A27" s="32" t="s">
        <v>173</v>
      </c>
      <c r="B27" s="32"/>
      <c r="C27" s="32"/>
      <c r="D27" s="32"/>
    </row>
    <row r="29" customFormat="false" ht="15" hidden="false" customHeight="true" outlineLevel="0" collapsed="false">
      <c r="A29" s="4" t="s">
        <v>174</v>
      </c>
      <c r="B29" s="4"/>
      <c r="C29" s="4"/>
      <c r="D29" s="4"/>
    </row>
    <row r="30" customFormat="false" ht="15" hidden="false" customHeight="true" outlineLevel="0" collapsed="false">
      <c r="A30" s="7" t="s">
        <v>175</v>
      </c>
    </row>
    <row r="31" customFormat="false" ht="15" hidden="false" customHeight="true" outlineLevel="0" collapsed="false">
      <c r="A31" s="15" t="s">
        <v>110</v>
      </c>
      <c r="B31" s="15" t="s">
        <v>176</v>
      </c>
      <c r="C31" s="15" t="s">
        <v>177</v>
      </c>
      <c r="D31" s="15" t="s">
        <v>178</v>
      </c>
    </row>
    <row r="32" customFormat="false" ht="15" hidden="false" customHeight="true" outlineLevel="0" collapsed="false">
      <c r="A32" s="33" t="s">
        <v>33</v>
      </c>
      <c r="B32" s="34" t="n">
        <f aca="false">Input!$B$24-0.01</f>
        <v>0</v>
      </c>
      <c r="C32" s="34" t="n">
        <f aca="false">Input!$B$24</f>
        <v>0.01</v>
      </c>
      <c r="D32" s="34" t="n">
        <f aca="false">Input!$B$24+0.01</f>
        <v>0.02</v>
      </c>
    </row>
    <row r="33" customFormat="false" ht="15" hidden="false" customHeight="true" outlineLevel="0" collapsed="false">
      <c r="A33" s="33" t="s">
        <v>179</v>
      </c>
      <c r="B33" s="34" t="n">
        <f aca="false">Input!$B$14-0.005</f>
        <v>0</v>
      </c>
      <c r="C33" s="34" t="n">
        <f aca="false">Input!$B$14</f>
        <v>0.005</v>
      </c>
      <c r="D33" s="34" t="n">
        <f aca="false">Input!$B$14+0.005</f>
        <v>0.01</v>
      </c>
    </row>
    <row r="34" customFormat="false" ht="15" hidden="false" customHeight="true" outlineLevel="0" collapsed="false">
      <c r="A34" s="33" t="s">
        <v>19</v>
      </c>
      <c r="B34" s="34" t="n">
        <v>0.022</v>
      </c>
      <c r="C34" s="34" t="n">
        <f aca="false">Input!$B$15</f>
        <v>0.018</v>
      </c>
      <c r="D34" s="34" t="n">
        <v>0.015</v>
      </c>
    </row>
    <row r="35" customFormat="false" ht="15" hidden="false" customHeight="true" outlineLevel="0" collapsed="false">
      <c r="A35" s="33" t="s">
        <v>180</v>
      </c>
      <c r="B35" s="34" t="n">
        <f aca="false">Input!$B$29-Input!$B$30-0.01</f>
        <v>0.01</v>
      </c>
      <c r="C35" s="34" t="n">
        <f aca="false">Input!$B$29-Input!$B$30</f>
        <v>0.02</v>
      </c>
      <c r="D35" s="34" t="n">
        <f aca="false">Input!$B$29-Input!$B$30+0.01</f>
        <v>0.03</v>
      </c>
    </row>
    <row r="36" customFormat="false" ht="15" hidden="false" customHeight="true" outlineLevel="0" collapsed="false">
      <c r="A36" s="33" t="s">
        <v>181</v>
      </c>
      <c r="B36" s="23" t="n">
        <f aca="false">(Input!$B$13*(1+B33)^Input!$B$7+SUMPRODUCT((Previdenza!$A$5:$A$54&lt;Input!$B$7)*((Input!$B$23*(1+B32)^Previdenza!$A$5:$A$54+Input!$B$51-ABS(Input!$B$23*(1+B32)^Previdenza!$A$5:$A$54-Input!$B$51))/2)*Input!$B$12*(1+B33)^(Input!$B$7-1-Previdenza!$A$5:$A$54)))*Input!$B$42*(1-B34)^(Input!$B$7/2)</f>
        <v>10806.0667563697</v>
      </c>
      <c r="C36" s="23" t="n">
        <f aca="false">(Input!$B$13*(1+C33)^Input!$B$7+SUMPRODUCT((Previdenza!$A$5:$A$54&lt;Input!$B$7)*((Input!$B$23*(1+C32)^Previdenza!$A$5:$A$54+Input!$B$51-ABS(Input!$B$23*(1+C32)^Previdenza!$A$5:$A$54-Input!$B$51))/2)*Input!$B$12*(1+C33)^(Input!$B$7-1-Previdenza!$A$5:$A$54)))*Input!$B$42*(1-C34)^(Input!$B$7/2)</f>
        <v>14192.8025058381</v>
      </c>
      <c r="D36" s="23" t="n">
        <f aca="false">(Input!$B$13*(1+D33)^Input!$B$7+SUMPRODUCT((Previdenza!$A$5:$A$54&lt;Input!$B$7)*((Input!$B$23*(1+D32)^Previdenza!$A$5:$A$54+Input!$B$51-ABS(Input!$B$23*(1+D32)^Previdenza!$A$5:$A$54-Input!$B$51))/2)*Input!$B$12*(1+D33)^(Input!$B$7-1-Previdenza!$A$5:$A$54)))*Input!$B$42*(1-D34)^(Input!$B$7/2)</f>
        <v>18360.5950322628</v>
      </c>
    </row>
    <row r="37" customFormat="false" ht="15" hidden="false" customHeight="true" outlineLevel="0" collapsed="false">
      <c r="A37" s="33" t="s">
        <v>182</v>
      </c>
      <c r="B37" s="23" t="n">
        <f aca="false">B36-MAX(0,IF(B36&lt;=28000,B36*0.23,IF(B36&lt;=50000,6440+(B36-28000)*0.33,13700+(B36-50000)*0.43))-IF(B36&lt;=8500,1955,IF(B36&lt;=28000,700+1255*(28000-B36)/19500,IF(B36&lt;=50000,700*(50000-B36)/22000,0))))-IF(IF(B36&lt;=28000,B36*0.23,IF(B36&lt;=50000,6440+(B36-28000)*0.33,13700+(B36-50000)*0.43))-IF(B36&lt;=8500,1955,IF(B36&lt;=28000,700+1255*(28000-B36)/19500,IF(B36&lt;=50000,700*(50000-B36)/22000,0)))&gt;0,B36*0.02,0)</f>
        <v>9911.13397603397</v>
      </c>
      <c r="C37" s="23" t="n">
        <f aca="false">C36-MAX(0,IF(C36&lt;=28000,C36*0.23,IF(C36&lt;=50000,6440+(C36-28000)*0.33,13700+(C36-50000)*0.43))-IF(C36&lt;=8500,1955,IF(C36&lt;=28000,700+1255*(28000-C36)/19500,IF(C36&lt;=50000,700*(50000-C36)/22000,0))))-IF(IF(C36&lt;=28000,C36*0.23,IF(C36&lt;=50000,6440+(C36-28000)*0.33,13700+(C36-50000)*0.43))-IF(C36&lt;=8500,1955,IF(C36&lt;=28000,700+1255*(28000-C36)/19500,IF(C36&lt;=50000,700*(50000-C36)/22000,0)))&gt;0,C36*0.02,0)</f>
        <v>12233.2189488746</v>
      </c>
      <c r="D37" s="23" t="n">
        <f aca="false">D36-MAX(0,IF(D36&lt;=28000,D36*0.23,IF(D36&lt;=50000,6440+(D36-28000)*0.33,13700+(D36-50000)*0.43))-IF(D36&lt;=8500,1955,IF(D36&lt;=28000,700+1255*(28000-D36)/19500,IF(D36&lt;=50000,700*(50000-D36)/22000,0))))-IF(IF(D36&lt;=28000,D36*0.23,IF(D36&lt;=50000,6440+(D36-28000)*0.33,13700+(D36-50000)*0.43))-IF(D36&lt;=8500,1955,IF(D36&lt;=28000,700+1255*(28000-D36)/19500,IF(D36&lt;=50000,700*(50000-D36)/22000,0)))&gt;0,D36*0.02,0)</f>
        <v>15090.8284913515</v>
      </c>
    </row>
    <row r="38" customFormat="false" ht="15" hidden="false" customHeight="true" outlineLevel="0" collapsed="false">
      <c r="A38" s="33" t="s">
        <v>183</v>
      </c>
      <c r="B38" s="23" t="n">
        <f aca="false">((Input!$B$31*(1+B35)^Input!$B$7+Input!$B$28*SUMPRODUCT((Complementare!$A$5:$A$54&lt;Input!$B$7)*(1+B35)^(Input!$B$7-Complementare!$A$5:$A$54)))-((Input!$B$31*(1+Input!$B$39)^(-Input!$B$7)+(Input!$B$46+IF(Input!$B$47=1,0,Input!$B$28-Input!$B$46))*SUMPRODUCT((Complementare!$A$5:$A$54&lt;Input!$B$7)*(1+Input!$B$39)^(Complementare!$A$5:$A$54-Input!$B$7)))*Input!$B$38))*Input!$B$42*(1-B34)^(Input!$B$7/2)</f>
        <v>0</v>
      </c>
      <c r="C38" s="23" t="n">
        <f aca="false">((Input!$B$31*(1+C35)^Input!$B$7+Input!$B$28*SUMPRODUCT((Complementare!$A$5:$A$54&lt;Input!$B$7)*(1+C35)^(Input!$B$7-Complementare!$A$5:$A$54)))-((Input!$B$31*(1+Input!$B$39)^(-Input!$B$7)+(Input!$B$46+IF(Input!$B$47=1,0,Input!$B$28-Input!$B$46))*SUMPRODUCT((Complementare!$A$5:$A$54&lt;Input!$B$7)*(1+Input!$B$39)^(Complementare!$A$5:$A$54-Input!$B$7)))*Input!$B$38))*Input!$B$42*(1-C34)^(Input!$B$7/2)</f>
        <v>0</v>
      </c>
      <c r="D38" s="23" t="n">
        <f aca="false">((Input!$B$31*(1+D35)^Input!$B$7+Input!$B$28*SUMPRODUCT((Complementare!$A$5:$A$54&lt;Input!$B$7)*(1+D35)^(Input!$B$7-Complementare!$A$5:$A$54)))-((Input!$B$31*(1+Input!$B$39)^(-Input!$B$7)+(Input!$B$46+IF(Input!$B$47=1,0,Input!$B$28-Input!$B$46))*SUMPRODUCT((Complementare!$A$5:$A$54&lt;Input!$B$7)*(1+Input!$B$39)^(Complementare!$A$5:$A$54-Input!$B$7)))*Input!$B$38))*Input!$B$42*(1-D34)^(Input!$B$7/2)</f>
        <v>0</v>
      </c>
    </row>
    <row r="39" customFormat="false" ht="15" hidden="false" customHeight="true" outlineLevel="0" collapsed="false">
      <c r="A39" s="33" t="s">
        <v>184</v>
      </c>
      <c r="B39" s="30" t="n">
        <f aca="false">B37+B38</f>
        <v>9911.13397603397</v>
      </c>
      <c r="C39" s="30" t="n">
        <f aca="false">C37+C38</f>
        <v>12233.2189488746</v>
      </c>
      <c r="D39" s="30" t="n">
        <f aca="false">D37+D38</f>
        <v>15090.8284913515</v>
      </c>
    </row>
    <row r="40" customFormat="false" ht="15" hidden="false" customHeight="true" outlineLevel="0" collapsed="false">
      <c r="A40" s="33" t="s">
        <v>185</v>
      </c>
      <c r="B40" s="23" t="n">
        <f aca="false">Input!$B$55</f>
        <v>18720</v>
      </c>
      <c r="C40" s="23" t="n">
        <f aca="false">Input!$B$55</f>
        <v>18720</v>
      </c>
      <c r="D40" s="23" t="n">
        <f aca="false">Input!$B$55</f>
        <v>18720</v>
      </c>
    </row>
    <row r="41" customFormat="false" ht="15" hidden="false" customHeight="true" outlineLevel="0" collapsed="false">
      <c r="A41" s="33" t="s">
        <v>186</v>
      </c>
      <c r="B41" s="31" t="n">
        <f aca="false">B40-B39</f>
        <v>8808.86602396603</v>
      </c>
      <c r="C41" s="31" t="n">
        <f aca="false">C40-C39</f>
        <v>6486.78105112536</v>
      </c>
      <c r="D41" s="31" t="n">
        <f aca="false">D40-D39</f>
        <v>3629.17150864852</v>
      </c>
    </row>
    <row r="42" customFormat="false" ht="15" hidden="false" customHeight="true" outlineLevel="0" collapsed="false">
      <c r="A42" s="33" t="s">
        <v>187</v>
      </c>
      <c r="B42" s="34" t="n">
        <f aca="false">IFERROR(B41/B40,0)</f>
        <v>0.470559082476818</v>
      </c>
      <c r="C42" s="34" t="n">
        <f aca="false">IFERROR(C41/C40,0)</f>
        <v>0.346516081790884</v>
      </c>
      <c r="D42" s="34" t="n">
        <f aca="false">IFERROR(D41/D40,0)</f>
        <v>0.193865999393618</v>
      </c>
    </row>
    <row r="44" customFormat="false" ht="15" hidden="false" customHeight="true" outlineLevel="0" collapsed="false">
      <c r="A44" s="32" t="s">
        <v>188</v>
      </c>
      <c r="B44" s="32"/>
      <c r="C44" s="32"/>
      <c r="D44" s="32"/>
    </row>
  </sheetData>
  <mergeCells count="12">
    <mergeCell ref="A1:D1"/>
    <mergeCell ref="A2:D2"/>
    <mergeCell ref="A4:D4"/>
    <mergeCell ref="A10:D10"/>
    <mergeCell ref="A17:D17"/>
    <mergeCell ref="A23:D23"/>
    <mergeCell ref="A24:D24"/>
    <mergeCell ref="A25:D25"/>
    <mergeCell ref="A26:D26"/>
    <mergeCell ref="A27:D27"/>
    <mergeCell ref="A29:D29"/>
    <mergeCell ref="A44:D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2026-06-25T13:03:59Z</dcterms:created>
  <dc:creator>openpyxl</dc:creator>
  <dc:description/>
  <dc:language>en-US</dc:language>
  <cp:lastModifiedBy/>
  <dcterms:modified xsi:type="dcterms:W3CDTF">2026-06-25T13:03:59Z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