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<sst xmlns="http://schemas.openxmlformats.org/spreadsheetml/2006/main" count="202" uniqueCount="191">
  <si>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</si>
  <si>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</si>
  <si>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</si>
  <si>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</si>
  <si>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</si>
  <si>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</si>
  <si>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</si>
  <si>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</si>
  <si>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</si>
  <si>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</si>
  <si>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</si>
  <si>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</si>
  <si>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con 2 (cassa) l'aliquota di computo segue la soggettiva in B12</t>
  </si>
  <si>
    <t xml:space="preserve">Aliquota contributiva (versata)</t>
  </si>
  <si>
    <t xml:space="preserve">GS 26,07% (25% IVS + 0,72% + 0,35% ISCRO), deducibile per intero;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</si>
  <si>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</si>
  <si>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</si>
  <si>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 (reale)</t>
  </si>
  <si>
    <t xml:space="preserve">Gestione Separata: PIL reale ~0,5%, come i dipendenti; cassa: regola propria al netto dell'inflazione</t>
  </si>
  <si>
    <t xml:space="preserve">Decadimento coefficiente / biennio</t>
  </si>
  <si>
    <t xml:space="preserve">il coefficiente cala ~1,8%/biennio; 0 = congelato</t>
  </si>
  <si>
    <t xml:space="preserve">Aliquota di computo (montante)</t>
  </si>
  <si>
    <t xml:space="preserve">calcolato: a montante va solo l'IVS, cioè 25% in Gestione Separata (24% se l'aliquota versata è 24%); per una cassa la soggettiva (B12). Sovrascrivere solo se la cassa accredita a montante anche altro (es. CNPADC)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</si>
  <si>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</si>
  <si>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</si>
  <si>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</si>
  <si>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</si>
  <si>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</si>
  <si>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</si>
  <si>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</si>
  <si>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</si>
  <si>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</si>
  <si>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</si>
  <si>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</si>
  <si>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</si>
  <si>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</si>
  <si>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</si>
  <si>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</si>
  <si>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</si>
  <si>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</si>
  <si>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</si>
  <si>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</si>
  <si>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</si>
  <si>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</si>
  <si>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</si>
  <si>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</si>
  <si>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</si>
  <si>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</si>
  <si>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</si>
  <si>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</si>
  <si>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</si>
  <si>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</si>
  <si>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</si>
  <si>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</si>
  <si>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</si>
  <si>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</si>
  <si>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</si>
  <si>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</si>
  <si>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</si>
  <si>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</si>
  <si>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</si>
  <si>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</si>
  <si>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</si>
  <si>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</si>
  <si>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forfettario: solo fino agli altri redditi IRPEF (B52);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</si>
  <si>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</si>
  <si>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</si>
  <si>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</si>
  <si>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</si>
  <si>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Massimale, altri redditi e spese</t>
  </si>
  <si>
    <t xml:space="preserve">Massimale contributivo annuo</t>
  </si>
  <si>
    <t xml:space="preserve">Gestione Separata 2026 (Circ. INPS 8/2026); per una cassa il suo tetto, qui trattato come tetto secco</t>
  </si>
  <si>
    <t xml:space="preserve">Altri redditi IRPEF (no cedolare secca)</t>
  </si>
  <si>
    <t xml:space="preserve">solo redditi senza detrazioni proprie (affitti a IRPEF ordinaria): con lavoro dipendente o occasionale le detrazioni (art. 13 TUIR, dal 2027 art. 13 D.Lgs. 117/2026) riducono il risparmio, fino ad azzerarlo</t>
  </si>
  <si>
    <t xml:space="preserve">Spesa mensile attuale</t>
  </si>
  <si>
    <t xml:space="preserve">€/mese, in euro di oggi</t>
  </si>
  <si>
    <t xml:space="preserve">Fattore riduzione spesa post-pensione</t>
  </si>
  <si>
    <t xml:space="preserve">tipico 0,75-0,85</t>
  </si>
  <si>
    <t xml:space="preserve">Spesa annua target (€ di oggi)</t>
  </si>
  <si>
    <t xml:space="preserve">spesa mensile × 12 × fattore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</si>
  <si>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</si>
  <si>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</si>
  <si>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</si>
  <si>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</si>
  <si>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</si>
  <si>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</si>
  <si>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</si>
  <si>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</si>
  <si>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</si>
  <si>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</si>
  <si>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</si>
  <si>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anno, in euro di oggi: contributi fino al massimale, rivalutazione dall'anno dopo il versamento (L. 335/1995). La pensione usa il coefficiente PROIETTATO al pensionamento (foglio Input).</t>
  </si>
  <si>
    <t xml:space="preserve">Anno</t>
  </si>
  <si>
    <t xml:space="preserve">Reddito</t>
  </si>
  <si>
    <t xml:space="preserve">Contributo a montante (aliquota di computo, fino al massimale)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</si>
  <si>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</si>
  <si>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</si>
  <si>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</si>
  <si>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</si>
  <si>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</si>
  <si>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</si>
  <si>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</si>
  <si>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</si>
  <si>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</si>
  <si>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</si>
  <si>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IRPEF lorda sulla pensione (scaglioni 2026)</t>
  </si>
  <si>
    <t xml:space="preserve">Detrazione pensionati (art. 13 c. 3 TUIR, dal 2027 art. 13 c. 3 D.Lgs. 117/2026)</t>
  </si>
  <si>
    <t xml:space="preserve">Addizionali regionali + comunali (~2%, se c'è IRPEF)</t>
  </si>
  <si>
    <t xml:space="preserve">Pensione obbligatoria NETTA annua</t>
  </si>
  <si>
    <t xml:space="preserve">Pensione obbligatoria NETTA mensile (×13)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</si>
  <si>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</si>
  <si>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</si>
  <si>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</si>
  <si>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</si>
  <si>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</si>
  <si>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</si>
  <si>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</si>
  <si>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</si>
  <si>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</si>
  <si>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 dedotto</t>
  </si>
  <si>
    <t xml:space="preserve">forf.: solo dagli altri redditi IRPEF; ord.: dal reddito complessivo</t>
  </si>
  <si>
    <t xml:space="preserve">Imponibile (forf.: sostitutiva; ord.: IRPEF con altri redditi)</t>
  </si>
  <si>
    <t xml:space="preserve">Imposta</t>
  </si>
  <si>
    <t xml:space="preserve">forf.: sostitutiva + IRPEF lorda sugli altri redditi; ord.: IRPEF lorda (ante detrazioni)</t>
  </si>
  <si>
    <t xml:space="preserve">Netto disponibile (redditi − contributi − imposte)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</si>
  <si>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</si>
  <si>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</si>
  <si>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</si>
  <si>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IRPEF lorda risparmiata sugli altri redditi (massimo: con lavoro dipendente può essere zero); ord.: aliquota × 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</si>
  <si>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</si>
  <si>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</si>
  <si>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si deduce solo contro l'IRPEF: in ORDINARIO fino al plafond, in forfettario solo fino agli altri redditi</t>
  </si>
  <si>
    <t xml:space="preserve">IRPEF (Input B52). Per un forfettario puro il risparmio in ingresso è zero (riga evidenziata).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</si>
  <si>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</si>
  <si>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</si>
  <si>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in entrambe le colonne il risparmio è un massimo, e con lavoro dipendente le detrazioni possono annullarlo.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</si>
  <si>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</si>
  <si>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</si>
  <si>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</si>
  <si>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</si>
  <si>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</si>
  <si>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</si>
  <si>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</si>
  <si>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</si>
  <si>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</si>
  <si>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</si>
  <si>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</si>
  <si>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</si>
  <si>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</si>
  <si>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 D.Lgs. 252/2005; dal 2027 art. 258 c. 4 D.Lgs. 117/2026).</t>
  </si>
  <si>
    <t xml:space="preserve">Riepilogo: pensione attesa e gap</t>
  </si>
  <si>
    <t xml:space="preserve">Previdenza obbligatoria e complementare, tasso di sostituzione, gap rispetto al reddito attuale e alla spesa target.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</si>
  <si>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</si>
  <si>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</si>
  <si>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</si>
  <si>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</si>
  <si>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Pensione totale NETTA annua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</si>
  <si>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</si>
  <si>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</si>
  <si>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</si>
  <si>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</si>
  <si>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</si>
  <si>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</si>
  <si>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</si>
  <si>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Obbligatoria e complementare (lorde)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</si>
  <si>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</si>
  <si>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</si>
  <si>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</si>
  <si>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</si>
  <si>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</si>
  <si>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</si>
  <si>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</si>
  <si>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di computo è minore (25%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</si>
  <si>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</si>
  <si>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</si>
  <si>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</si>
  <si>
    <t xml:space="preserve">Scenari: gap rispetto alla spesa target (€ di oggi)</t>
  </si>
  <si>
    <t xml:space="preserve">Come proiezione-tenore-vita.md: gap = spesa target − pensione netta. Base = fogli di calcolo; le altre colonne ricalcolano con i propri parametri.</t>
  </si>
  <si>
    <t xml:space="preserve">Conservativo</t>
  </si>
  <si>
    <t xml:space="preserve">Base</t>
  </si>
  <si>
    <t xml:space="preserve">Ottimistico</t>
  </si>
  <si>
    <t xml:space="preserve">Rivalutazione montante (reale)</t>
  </si>
  <si>
    <t xml:space="preserve">Rendimento netto fondo (reale)</t>
  </si>
  <si>
    <t xml:space="preserve">Pensione obbligatoria lorda</t>
  </si>
  <si>
    <t xml:space="preserve">Pensione obbligatoria netta</t>
  </si>
  <si>
    <t xml:space="preserve">Rendita fondo (netta della tassa in uscita)</t>
  </si>
  <si>
    <t xml:space="preserve">Pensione totale netta</t>
  </si>
  <si>
    <t xml:space="preserve">Spesa target annua (€ di oggi)</t>
  </si>
  <si>
    <t xml:space="preserve">GAP (spesa target − pensione netta)</t>
  </si>
  <si>
    <t xml:space="preserve">Gap % della spesa target</t>
  </si>
  <si>
    <t xml:space="preserve">Scenari indicativi in euro di oggi; per le casse la rivalutazione segue la regola della cassa.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</si>
</sst>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0.005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6" customFormat="false" ht="15" hidden="false" customHeight="false" outlineLevel="0" collapsed="false">
      <c r="A16" s="5" t="s">
        <v>21</v>
      </c>
      <c r="B16" s="8" t="n">
        <f aca="false">IF(Input!$B$11=2,Input!$B$12,MIN(Input!$B$12,0.25))</f>
        <v>0.25</v>
      </c>
      <c r="C16" s="7" t="s">
        <v>22</v>
      </c>
    </row>
    <row r="17" customFormat="false" ht="15" hidden="false" customHeight="false" outlineLevel="0" collapsed="false">
      <c r="A17" s="4" t="s">
        <v>23</v>
      </c>
      <c r="B17" s="4"/>
      <c r="C17" s="4"/>
    </row>
    <row r="18" customFormat="false" ht="15" hidden="false" customHeight="false" outlineLevel="0" collapsed="false">
      <c r="A18" s="7" t="s">
        <v>24</v>
      </c>
    </row>
    <row r="19" customFormat="false" ht="15" hidden="false" customHeight="false" outlineLevel="0" collapsed="false">
      <c r="A19" s="5" t="s">
        <v>25</v>
      </c>
      <c r="B19" s="6" t="n">
        <v>1</v>
      </c>
      <c r="C19" s="7" t="s">
        <v>26</v>
      </c>
    </row>
    <row r="20" customFormat="false" ht="15" hidden="false" customHeight="false" outlineLevel="0" collapsed="false">
      <c r="A20" s="5" t="s">
        <v>27</v>
      </c>
      <c r="B20" s="9" t="n">
        <v>0.78</v>
      </c>
      <c r="C20" s="7" t="s">
        <v>28</v>
      </c>
    </row>
    <row r="21" customFormat="false" ht="15" hidden="false" customHeight="false" outlineLevel="0" collapsed="false">
      <c r="A21" s="5" t="s">
        <v>29</v>
      </c>
      <c r="B21" s="10" t="n">
        <v>40000</v>
      </c>
      <c r="C21" s="7" t="s">
        <v>30</v>
      </c>
    </row>
    <row r="22" customFormat="false" ht="15" hidden="false" customHeight="false" outlineLevel="0" collapsed="false">
      <c r="A22" s="5" t="s">
        <v>31</v>
      </c>
      <c r="B22" s="10" t="n">
        <v>0</v>
      </c>
      <c r="C22" s="7" t="s">
        <v>32</v>
      </c>
    </row>
    <row r="23" customFormat="false" ht="15" hidden="false" customHeight="false" outlineLevel="0" collapsed="false">
      <c r="A23" s="5" t="s">
        <v>33</v>
      </c>
      <c r="B23" s="11" t="n">
        <f aca="false">IF(Input!$B$19=1,Input!$B$21*Input!$B$20,Input!$B$21-Input!$B$22)</f>
        <v>31200</v>
      </c>
      <c r="C23" s="7" t="s">
        <v>34</v>
      </c>
    </row>
    <row r="24" customFormat="false" ht="15" hidden="false" customHeight="false" outlineLevel="0" collapsed="false">
      <c r="A24" s="5" t="s">
        <v>35</v>
      </c>
      <c r="B24" s="9" t="n">
        <v>0.01</v>
      </c>
      <c r="C24" s="7" t="s">
        <v>36</v>
      </c>
    </row>
    <row r="26" customFormat="false" ht="15" hidden="false" customHeight="false" outlineLevel="0" collapsed="false">
      <c r="A26" s="4" t="s">
        <v>37</v>
      </c>
      <c r="B26" s="4"/>
      <c r="C26" s="4"/>
    </row>
    <row r="28" customFormat="false" ht="15" hidden="false" customHeight="false" outlineLevel="0" collapsed="false">
      <c r="A28" s="5" t="s">
        <v>38</v>
      </c>
      <c r="B28" s="10" t="n">
        <v>0</v>
      </c>
      <c r="C28" s="7" t="s">
        <v>39</v>
      </c>
    </row>
    <row r="29" customFormat="false" ht="15" hidden="false" customHeight="false" outlineLevel="0" collapsed="false">
      <c r="A29" s="5" t="s">
        <v>40</v>
      </c>
      <c r="B29" s="9" t="n">
        <v>0.03</v>
      </c>
      <c r="C29" s="7" t="s">
        <v>41</v>
      </c>
    </row>
    <row r="30" customFormat="false" ht="15" hidden="false" customHeight="false" outlineLevel="0" collapsed="false">
      <c r="A30" s="5" t="s">
        <v>42</v>
      </c>
      <c r="B30" s="9" t="n">
        <v>0.01</v>
      </c>
      <c r="C30" s="7" t="s">
        <v>43</v>
      </c>
    </row>
    <row r="31" customFormat="false" ht="15" hidden="false" customHeight="false" outlineLevel="0" collapsed="false">
      <c r="A31" s="5" t="s">
        <v>44</v>
      </c>
      <c r="B31" s="10" t="n">
        <v>0</v>
      </c>
      <c r="C31" s="7" t="s">
        <v>45</v>
      </c>
    </row>
    <row r="32" customFormat="false" ht="15" hidden="false" customHeight="false" outlineLevel="0" collapsed="false">
      <c r="A32" s="5" t="s">
        <v>46</v>
      </c>
      <c r="B32" s="6" t="n">
        <v>5</v>
      </c>
      <c r="C32" s="7" t="s">
        <v>47</v>
      </c>
    </row>
    <row r="35" customFormat="false" ht="15" hidden="false" customHeight="false" outlineLevel="0" collapsed="false">
      <c r="A35" s="4" t="s">
        <v>48</v>
      </c>
      <c r="B35" s="4"/>
      <c r="C35" s="4"/>
    </row>
    <row r="36" customFormat="false" ht="15" hidden="false" customHeight="false" outlineLevel="0" collapsed="false">
      <c r="A36" s="5" t="s">
        <v>49</v>
      </c>
      <c r="B36" s="9" t="n">
        <v>0.15</v>
      </c>
      <c r="C36" s="7" t="s">
        <v>50</v>
      </c>
    </row>
    <row r="37" customFormat="false" ht="15" hidden="false" customHeight="false" outlineLevel="0" collapsed="false">
      <c r="A37" s="5" t="s">
        <v>51</v>
      </c>
      <c r="B37" s="12" t="n">
        <f aca="false">IF(Input!$B$23&lt;=28000,0.23,IF(Input!$B$23&lt;=50000,0.33,0.43))</f>
        <v>0.33</v>
      </c>
      <c r="C37" s="7" t="s">
        <v>52</v>
      </c>
    </row>
    <row r="38" customFormat="false" ht="15" hidden="false" customHeight="false" outlineLevel="0" collapsed="false">
      <c r="A38" s="5" t="s">
        <v>53</v>
      </c>
      <c r="B38" s="12" t="n">
        <f aca="false">MAX(0.09,0.15-0.003*MAX(0,Input!$B$32-15))</f>
        <v>0.15</v>
      </c>
      <c r="C38" s="7" t="s">
        <v>54</v>
      </c>
    </row>
    <row r="39" customFormat="false" ht="15" hidden="false" customHeight="false" outlineLevel="0" collapsed="false">
      <c r="A39" s="5" t="s">
        <v>55</v>
      </c>
      <c r="B39" s="9" t="n">
        <v>0.02</v>
      </c>
      <c r="C39" s="7" t="s">
        <v>56</v>
      </c>
    </row>
    <row r="41" customFormat="false" ht="15" hidden="false" customHeight="false" outlineLevel="0" collapsed="false">
      <c r="A41" s="4" t="s">
        <v>57</v>
      </c>
      <c r="B41" s="4"/>
      <c r="C41" s="4"/>
    </row>
    <row r="42" customFormat="false" ht="15" hidden="false" customHeight="false" outlineLevel="0" collapsed="false">
      <c r="A42" s="5" t="s">
        <v>58</v>
      </c>
      <c r="B42" s="13" t="n">
        <f aca="false">VLOOKUP(Input!$B$6,Coefficienti!A5:C19,3,FALSE())</f>
        <v>0.05608</v>
      </c>
      <c r="C42" s="7" t="s">
        <v>59</v>
      </c>
    </row>
    <row r="43" customFormat="false" ht="15" hidden="false" customHeight="false" outlineLevel="0" collapsed="false">
      <c r="A43" s="5" t="s">
        <v>60</v>
      </c>
      <c r="B43" s="14" t="n">
        <f aca="false">Input!$B$42*(1-Input!$B$15)^(Input!$B$7/2)</f>
        <v>0.0427051568947495</v>
      </c>
      <c r="C43" s="7" t="s">
        <v>61</v>
      </c>
    </row>
    <row r="45" customFormat="false" ht="15" hidden="false" customHeight="true" outlineLevel="0" collapsed="false">
      <c r="A45" s="4" t="s">
        <v>62</v>
      </c>
      <c r="B45" s="4"/>
      <c r="C45" s="4"/>
    </row>
    <row r="46" customFormat="false" ht="15" hidden="false" customHeight="true" outlineLevel="0" collapsed="false">
      <c r="A46" s="5" t="s">
        <v>63</v>
      </c>
      <c r="B46" s="11" t="n">
        <f aca="false">IF(Input!$B$19=1,MIN(Input!$B$28,Input!$B$48,Input!$B$52),MIN(Input!$B$28,Input!$B$48))</f>
        <v>0</v>
      </c>
      <c r="C46" s="7" t="s">
        <v>64</v>
      </c>
    </row>
    <row r="47" customFormat="false" ht="15" hidden="false" customHeight="true" outlineLevel="0" collapsed="false">
      <c r="A47" s="5" t="s">
        <v>65</v>
      </c>
      <c r="B47" s="6" t="n">
        <v>1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10" t="n">
        <v>5300</v>
      </c>
      <c r="C48" s="7" t="s">
        <v>68</v>
      </c>
    </row>
    <row r="50" customFormat="false" ht="15" hidden="false" customHeight="true" outlineLevel="0" collapsed="false">
      <c r="A50" s="4" t="s">
        <v>69</v>
      </c>
      <c r="B50" s="4"/>
      <c r="C50" s="4"/>
    </row>
    <row r="51" customFormat="false" ht="15" hidden="false" customHeight="true" outlineLevel="0" collapsed="false">
      <c r="A51" s="5" t="s">
        <v>70</v>
      </c>
      <c r="B51" s="10" t="n">
        <v>122295</v>
      </c>
      <c r="C51" s="7" t="s">
        <v>71</v>
      </c>
    </row>
    <row r="52" customFormat="false" ht="15" hidden="false" customHeight="true" outlineLevel="0" collapsed="false">
      <c r="A52" s="5" t="s">
        <v>72</v>
      </c>
      <c r="B52" s="10" t="n">
        <v>0</v>
      </c>
      <c r="C52" s="7" t="s">
        <v>73</v>
      </c>
    </row>
    <row r="53" customFormat="false" ht="15" hidden="false" customHeight="true" outlineLevel="0" collapsed="false">
      <c r="A53" s="5" t="s">
        <v>74</v>
      </c>
      <c r="B53" s="10" t="n">
        <v>2000</v>
      </c>
      <c r="C53" s="7" t="s">
        <v>75</v>
      </c>
    </row>
    <row r="54" customFormat="false" ht="15" hidden="false" customHeight="true" outlineLevel="0" collapsed="false">
      <c r="A54" s="5" t="s">
        <v>76</v>
      </c>
      <c r="B54" s="9" t="n">
        <v>0.78</v>
      </c>
      <c r="C54" s="7" t="s">
        <v>77</v>
      </c>
    </row>
    <row r="55" customFormat="false" ht="15" hidden="false" customHeight="true" outlineLevel="0" collapsed="false">
      <c r="A55" s="5" t="s">
        <v>78</v>
      </c>
      <c r="B55" s="11" t="n">
        <f aca="false">Input!$B$53*12*Input!$B$54</f>
        <v>18720</v>
      </c>
      <c r="C55" s="7" t="s">
        <v>79</v>
      </c>
    </row>
  </sheetData>
  <mergeCells count="10">
    <mergeCell ref="A1:C1"/>
    <mergeCell ref="A2:C2"/>
    <mergeCell ref="A4:C4"/>
    <mergeCell ref="A9:C9"/>
    <mergeCell ref="A17:C17"/>
    <mergeCell ref="A26:C26"/>
    <mergeCell ref="A35:C35"/>
    <mergeCell ref="A41:C41"/>
    <mergeCell ref="A45:C45"/>
    <mergeCell ref="A50:C50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80</v>
      </c>
      <c r="B1" s="2"/>
      <c r="C1" s="2"/>
    </row>
    <row r="2" customFormat="false" ht="15" hidden="false" customHeight="false" outlineLevel="0" collapsed="false">
      <c r="A2" s="3" t="s">
        <v>81</v>
      </c>
      <c r="B2" s="3"/>
      <c r="C2" s="3"/>
    </row>
    <row r="4" customFormat="false" ht="15" hidden="false" customHeight="false" outlineLevel="0" collapsed="false">
      <c r="A4" s="15" t="s">
        <v>82</v>
      </c>
      <c r="B4" s="15" t="s">
        <v>83</v>
      </c>
      <c r="C4" s="15" t="s">
        <v>84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85</v>
      </c>
    </row>
    <row r="23" customFormat="false" ht="15" hidden="false" customHeight="false" outlineLevel="0" collapsed="false">
      <c r="A23" s="20" t="s">
        <v>86</v>
      </c>
      <c r="B23" s="20"/>
      <c r="C23" s="20"/>
      <c r="D23" s="20"/>
    </row>
    <row r="24" customFormat="false" ht="15" hidden="false" customHeight="false" outlineLevel="0" collapsed="false">
      <c r="A24" s="20" t="s">
        <v>87</v>
      </c>
      <c r="B24" s="20"/>
      <c r="C24" s="20"/>
      <c r="D24" s="20"/>
    </row>
    <row r="25" customFormat="false" ht="15" hidden="false" customHeight="false" outlineLevel="0" collapsed="false">
      <c r="A25" s="20" t="s">
        <v>88</v>
      </c>
      <c r="B25" s="20"/>
      <c r="C25" s="20"/>
      <c r="D25" s="20"/>
    </row>
    <row r="26" customFormat="false" ht="15" hidden="false" customHeight="false" outlineLevel="0" collapsed="false">
      <c r="A26" s="20" t="s">
        <v>89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90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91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93</v>
      </c>
      <c r="D4" s="15" t="s">
        <v>94</v>
      </c>
      <c r="E4" s="15" t="s">
        <v>95</v>
      </c>
      <c r="F4" s="15" t="s">
        <v>96</v>
      </c>
      <c r="G4" s="15" t="s">
        <v>97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MIN(C5,Input!$B$51)*Input!$B$16</f>
        <v>7800</v>
      </c>
      <c r="E5" s="24" t="n">
        <f aca="false">Input!$B$13</f>
        <v>25000</v>
      </c>
      <c r="F5" s="23" t="n">
        <f aca="false">E5*Input!$B$14</f>
        <v>125</v>
      </c>
      <c r="G5" s="23" t="n">
        <f aca="false">IF(B5&lt;Input!$B$6,E5+D5+F5,E5)</f>
        <v>32925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MIN(C6,Input!$B$51)*Input!$B$16</f>
        <v>7878</v>
      </c>
      <c r="E6" s="23" t="n">
        <f aca="false">G5</f>
        <v>32925</v>
      </c>
      <c r="F6" s="23" t="n">
        <f aca="false">E6*Input!$B$14</f>
        <v>164.625</v>
      </c>
      <c r="G6" s="23" t="n">
        <f aca="false">IF(B6&lt;Input!$B$6,E6+D6+F6,E6)</f>
        <v>40967.625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MIN(C7,Input!$B$51)*Input!$B$16</f>
        <v>7956.78</v>
      </c>
      <c r="E7" s="23" t="n">
        <f aca="false">G6</f>
        <v>40967.625</v>
      </c>
      <c r="F7" s="23" t="n">
        <f aca="false">E7*Input!$B$14</f>
        <v>204.838125</v>
      </c>
      <c r="G7" s="23" t="n">
        <f aca="false">IF(B7&lt;Input!$B$6,E7+D7+F7,E7)</f>
        <v>49129.243125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MIN(C8,Input!$B$51)*Input!$B$16</f>
        <v>8036.3478</v>
      </c>
      <c r="E8" s="23" t="n">
        <f aca="false">G7</f>
        <v>49129.243125</v>
      </c>
      <c r="F8" s="23" t="n">
        <f aca="false">E8*Input!$B$14</f>
        <v>245.646215625</v>
      </c>
      <c r="G8" s="23" t="n">
        <f aca="false">IF(B8&lt;Input!$B$6,E8+D8+F8,E8)</f>
        <v>57411.237140625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MIN(C9,Input!$B$51)*Input!$B$16</f>
        <v>8116.711278</v>
      </c>
      <c r="E9" s="23" t="n">
        <f aca="false">G8</f>
        <v>57411.237140625</v>
      </c>
      <c r="F9" s="23" t="n">
        <f aca="false">E9*Input!$B$14</f>
        <v>287.056185703125</v>
      </c>
      <c r="G9" s="23" t="n">
        <f aca="false">IF(B9&lt;Input!$B$6,E9+D9+F9,E9)</f>
        <v>65815.0046043281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MIN(C10,Input!$B$51)*Input!$B$16</f>
        <v>8197.87839078</v>
      </c>
      <c r="E10" s="23" t="n">
        <f aca="false">G9</f>
        <v>65815.0046043281</v>
      </c>
      <c r="F10" s="23" t="n">
        <f aca="false">E10*Input!$B$14</f>
        <v>329.075023021641</v>
      </c>
      <c r="G10" s="23" t="n">
        <f aca="false">IF(B10&lt;Input!$B$6,E10+D10+F10,E10)</f>
        <v>74341.9580181298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MIN(C11,Input!$B$51)*Input!$B$16</f>
        <v>8279.8571746878</v>
      </c>
      <c r="E11" s="23" t="n">
        <f aca="false">G10</f>
        <v>74341.9580181298</v>
      </c>
      <c r="F11" s="23" t="n">
        <f aca="false">E11*Input!$B$14</f>
        <v>371.709790090649</v>
      </c>
      <c r="G11" s="23" t="n">
        <f aca="false">IF(B11&lt;Input!$B$6,E11+D11+F11,E11)</f>
        <v>82993.5249829082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MIN(C12,Input!$B$51)*Input!$B$16</f>
        <v>8362.65574643468</v>
      </c>
      <c r="E12" s="23" t="n">
        <f aca="false">G11</f>
        <v>82993.5249829082</v>
      </c>
      <c r="F12" s="23" t="n">
        <f aca="false">E12*Input!$B$14</f>
        <v>414.967624914541</v>
      </c>
      <c r="G12" s="23" t="n">
        <f aca="false">IF(B12&lt;Input!$B$6,E12+D12+F12,E12)</f>
        <v>91771.1483542574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MIN(C13,Input!$B$51)*Input!$B$16</f>
        <v>8446.28230389903</v>
      </c>
      <c r="E13" s="23" t="n">
        <f aca="false">G12</f>
        <v>91771.1483542574</v>
      </c>
      <c r="F13" s="23" t="n">
        <f aca="false">E13*Input!$B$14</f>
        <v>458.855741771287</v>
      </c>
      <c r="G13" s="23" t="n">
        <f aca="false">IF(B13&lt;Input!$B$6,E13+D13+F13,E13)</f>
        <v>100676.286399928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MIN(C14,Input!$B$51)*Input!$B$16</f>
        <v>8530.74512693801</v>
      </c>
      <c r="E14" s="23" t="n">
        <f aca="false">G13</f>
        <v>100676.286399928</v>
      </c>
      <c r="F14" s="23" t="n">
        <f aca="false">E14*Input!$B$14</f>
        <v>503.381431999639</v>
      </c>
      <c r="G14" s="23" t="n">
        <f aca="false">IF(B14&lt;Input!$B$6,E14+D14+F14,E14)</f>
        <v>109710.412958865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MIN(C15,Input!$B$51)*Input!$B$16</f>
        <v>8616.0525782074</v>
      </c>
      <c r="E15" s="23" t="n">
        <f aca="false">G14</f>
        <v>109710.412958865</v>
      </c>
      <c r="F15" s="23" t="n">
        <f aca="false">E15*Input!$B$14</f>
        <v>548.552064794327</v>
      </c>
      <c r="G15" s="23" t="n">
        <f aca="false">IF(B15&lt;Input!$B$6,E15+D15+F15,E15)</f>
        <v>118875.017601867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MIN(C16,Input!$B$51)*Input!$B$16</f>
        <v>8702.21310398947</v>
      </c>
      <c r="E16" s="23" t="n">
        <f aca="false">G15</f>
        <v>118875.017601867</v>
      </c>
      <c r="F16" s="23" t="n">
        <f aca="false">E16*Input!$B$14</f>
        <v>594.375088009336</v>
      </c>
      <c r="G16" s="23" t="n">
        <f aca="false">IF(B16&lt;Input!$B$6,E16+D16+F16,E16)</f>
        <v>128171.605793866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MIN(C17,Input!$B$51)*Input!$B$16</f>
        <v>8789.23523502936</v>
      </c>
      <c r="E17" s="23" t="n">
        <f aca="false">G16</f>
        <v>128171.605793866</v>
      </c>
      <c r="F17" s="23" t="n">
        <f aca="false">E17*Input!$B$14</f>
        <v>640.85802896933</v>
      </c>
      <c r="G17" s="23" t="n">
        <f aca="false">IF(B17&lt;Input!$B$6,E17+D17+F17,E17)</f>
        <v>137601.699057865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MIN(C18,Input!$B$51)*Input!$B$16</f>
        <v>8877.12758737966</v>
      </c>
      <c r="E18" s="23" t="n">
        <f aca="false">G17</f>
        <v>137601.699057865</v>
      </c>
      <c r="F18" s="23" t="n">
        <f aca="false">E18*Input!$B$14</f>
        <v>688.008495289323</v>
      </c>
      <c r="G18" s="23" t="n">
        <f aca="false">IF(B18&lt;Input!$B$6,E18+D18+F18,E18)</f>
        <v>147166.835140534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MIN(C19,Input!$B$51)*Input!$B$16</f>
        <v>8965.89886325346</v>
      </c>
      <c r="E19" s="23" t="n">
        <f aca="false">G18</f>
        <v>147166.835140534</v>
      </c>
      <c r="F19" s="23" t="n">
        <f aca="false">E19*Input!$B$14</f>
        <v>735.834175702668</v>
      </c>
      <c r="G19" s="23" t="n">
        <f aca="false">IF(B19&lt;Input!$B$6,E19+D19+F19,E19)</f>
        <v>156868.56817949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MIN(C20,Input!$B$51)*Input!$B$16</f>
        <v>9055.55785188599</v>
      </c>
      <c r="E20" s="23" t="n">
        <f aca="false">G19</f>
        <v>156868.56817949</v>
      </c>
      <c r="F20" s="23" t="n">
        <f aca="false">E20*Input!$B$14</f>
        <v>784.342840897449</v>
      </c>
      <c r="G20" s="23" t="n">
        <f aca="false">IF(B20&lt;Input!$B$6,E20+D20+F20,E20)</f>
        <v>166708.468872273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MIN(C21,Input!$B$51)*Input!$B$16</f>
        <v>9146.11343040485</v>
      </c>
      <c r="E21" s="23" t="n">
        <f aca="false">G20</f>
        <v>166708.468872273</v>
      </c>
      <c r="F21" s="23" t="n">
        <f aca="false">E21*Input!$B$14</f>
        <v>833.542344361366</v>
      </c>
      <c r="G21" s="23" t="n">
        <f aca="false">IF(B21&lt;Input!$B$6,E21+D21+F21,E21)</f>
        <v>176688.124647039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MIN(C22,Input!$B$51)*Input!$B$16</f>
        <v>9237.5745647089</v>
      </c>
      <c r="E22" s="23" t="n">
        <f aca="false">G21</f>
        <v>176688.124647039</v>
      </c>
      <c r="F22" s="23" t="n">
        <f aca="false">E22*Input!$B$14</f>
        <v>883.440623235197</v>
      </c>
      <c r="G22" s="23" t="n">
        <f aca="false">IF(B22&lt;Input!$B$6,E22+D22+F22,E22)</f>
        <v>186809.139834984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MIN(C23,Input!$B$51)*Input!$B$16</f>
        <v>9329.95031035599</v>
      </c>
      <c r="E23" s="23" t="n">
        <f aca="false">G22</f>
        <v>186809.139834984</v>
      </c>
      <c r="F23" s="23" t="n">
        <f aca="false">E23*Input!$B$14</f>
        <v>934.045699174918</v>
      </c>
      <c r="G23" s="23" t="n">
        <f aca="false">IF(B23&lt;Input!$B$6,E23+D23+F23,E23)</f>
        <v>197073.135844514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MIN(C24,Input!$B$51)*Input!$B$16</f>
        <v>9423.24981345955</v>
      </c>
      <c r="E24" s="23" t="n">
        <f aca="false">G23</f>
        <v>197073.135844514</v>
      </c>
      <c r="F24" s="23" t="n">
        <f aca="false">E24*Input!$B$14</f>
        <v>985.365679222572</v>
      </c>
      <c r="G24" s="23" t="n">
        <f aca="false">IF(B24&lt;Input!$B$6,E24+D24+F24,E24)</f>
        <v>207481.751337197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MIN(C25,Input!$B$51)*Input!$B$16</f>
        <v>9517.48231159414</v>
      </c>
      <c r="E25" s="23" t="n">
        <f aca="false">G24</f>
        <v>207481.751337197</v>
      </c>
      <c r="F25" s="23" t="n">
        <f aca="false">E25*Input!$B$14</f>
        <v>1037.40875668598</v>
      </c>
      <c r="G25" s="23" t="n">
        <f aca="false">IF(B25&lt;Input!$B$6,E25+D25+F25,E25)</f>
        <v>218036.642405477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MIN(C26,Input!$B$51)*Input!$B$16</f>
        <v>9612.65713471009</v>
      </c>
      <c r="E26" s="23" t="n">
        <f aca="false">G25</f>
        <v>218036.642405477</v>
      </c>
      <c r="F26" s="23" t="n">
        <f aca="false">E26*Input!$B$14</f>
        <v>1090.18321202738</v>
      </c>
      <c r="G26" s="23" t="n">
        <f aca="false">IF(B26&lt;Input!$B$6,E26+D26+F26,E26)</f>
        <v>228739.482752214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MIN(C27,Input!$B$51)*Input!$B$16</f>
        <v>9708.78370605719</v>
      </c>
      <c r="E27" s="23" t="n">
        <f aca="false">G26</f>
        <v>228739.482752214</v>
      </c>
      <c r="F27" s="23" t="n">
        <f aca="false">E27*Input!$B$14</f>
        <v>1143.69741376107</v>
      </c>
      <c r="G27" s="23" t="n">
        <f aca="false">IF(B27&lt;Input!$B$6,E27+D27+F27,E27)</f>
        <v>239591.963872032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MIN(C28,Input!$B$51)*Input!$B$16</f>
        <v>9805.87154311776</v>
      </c>
      <c r="E28" s="23" t="n">
        <f aca="false">G27</f>
        <v>239591.963872032</v>
      </c>
      <c r="F28" s="23" t="n">
        <f aca="false">E28*Input!$B$14</f>
        <v>1197.95981936016</v>
      </c>
      <c r="G28" s="23" t="n">
        <f aca="false">IF(B28&lt;Input!$B$6,E28+D28+F28,E28)</f>
        <v>250595.79523451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MIN(C29,Input!$B$51)*Input!$B$16</f>
        <v>9903.93025854894</v>
      </c>
      <c r="E29" s="23" t="n">
        <f aca="false">G28</f>
        <v>250595.79523451</v>
      </c>
      <c r="F29" s="23" t="n">
        <f aca="false">E29*Input!$B$14</f>
        <v>1252.97897617255</v>
      </c>
      <c r="G29" s="23" t="n">
        <f aca="false">IF(B29&lt;Input!$B$6,E29+D29+F29,E29)</f>
        <v>261752.704469232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MIN(C30,Input!$B$51)*Input!$B$16</f>
        <v>10002.9695611344</v>
      </c>
      <c r="E30" s="23" t="n">
        <f aca="false">G29</f>
        <v>261752.704469232</v>
      </c>
      <c r="F30" s="23" t="n">
        <f aca="false">E30*Input!$B$14</f>
        <v>1308.76352234616</v>
      </c>
      <c r="G30" s="23" t="n">
        <f aca="false">IF(B30&lt;Input!$B$6,E30+D30+F30,E30)</f>
        <v>273064.437552712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MIN(C31,Input!$B$51)*Input!$B$16</f>
        <v>10102.9992567458</v>
      </c>
      <c r="E31" s="23" t="n">
        <f aca="false">G30</f>
        <v>273064.437552712</v>
      </c>
      <c r="F31" s="23" t="n">
        <f aca="false">E31*Input!$B$14</f>
        <v>1365.32218776356</v>
      </c>
      <c r="G31" s="23" t="n">
        <f aca="false">IF(B31&lt;Input!$B$6,E31+D31+F31,E31)</f>
        <v>284532.758997222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MIN(C32,Input!$B$51)*Input!$B$16</f>
        <v>10204.0292493132</v>
      </c>
      <c r="E32" s="23" t="n">
        <f aca="false">G31</f>
        <v>284532.758997222</v>
      </c>
      <c r="F32" s="23" t="n">
        <f aca="false">E32*Input!$B$14</f>
        <v>1422.66379498611</v>
      </c>
      <c r="G32" s="23" t="n">
        <f aca="false">IF(B32&lt;Input!$B$6,E32+D32+F32,E32)</f>
        <v>296159.452041521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MIN(C33,Input!$B$51)*Input!$B$16</f>
        <v>10306.0695418064</v>
      </c>
      <c r="E33" s="23" t="n">
        <f aca="false">G32</f>
        <v>296159.452041521</v>
      </c>
      <c r="F33" s="23" t="n">
        <f aca="false">E33*Input!$B$14</f>
        <v>1480.79726020761</v>
      </c>
      <c r="G33" s="23" t="n">
        <f aca="false">IF(B33&lt;Input!$B$6,E33+D33+F33,E33)</f>
        <v>307946.318843535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MIN(C34,Input!$B$51)*Input!$B$16</f>
        <v>10409.1302372244</v>
      </c>
      <c r="E34" s="23" t="n">
        <f aca="false">G33</f>
        <v>307946.318843535</v>
      </c>
      <c r="F34" s="23" t="n">
        <f aca="false">E34*Input!$B$14</f>
        <v>1539.73159421768</v>
      </c>
      <c r="G34" s="23" t="n">
        <f aca="false">IF(B34&lt;Input!$B$6,E34+D34+F34,E34)</f>
        <v>319895.180674977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MIN(C35,Input!$B$51)*Input!$B$16</f>
        <v>0</v>
      </c>
      <c r="E35" s="23" t="n">
        <f aca="false">G34</f>
        <v>319895.180674977</v>
      </c>
      <c r="F35" s="23" t="n">
        <f aca="false">E35*Input!$B$14</f>
        <v>1599.47590337489</v>
      </c>
      <c r="G35" s="23" t="n">
        <f aca="false">IF(B35&lt;Input!$B$6,E35+D35+F35,E35)</f>
        <v>319895.180674977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MIN(C36,Input!$B$51)*Input!$B$16</f>
        <v>0</v>
      </c>
      <c r="E36" s="23" t="n">
        <f aca="false">G35</f>
        <v>319895.180674977</v>
      </c>
      <c r="F36" s="23" t="n">
        <f aca="false">E36*Input!$B$14</f>
        <v>1599.47590337489</v>
      </c>
      <c r="G36" s="23" t="n">
        <f aca="false">IF(B36&lt;Input!$B$6,E36+D36+F36,E36)</f>
        <v>319895.180674977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MIN(C37,Input!$B$51)*Input!$B$16</f>
        <v>0</v>
      </c>
      <c r="E37" s="23" t="n">
        <f aca="false">G36</f>
        <v>319895.180674977</v>
      </c>
      <c r="F37" s="23" t="n">
        <f aca="false">E37*Input!$B$14</f>
        <v>1599.47590337489</v>
      </c>
      <c r="G37" s="23" t="n">
        <f aca="false">IF(B37&lt;Input!$B$6,E37+D37+F37,E37)</f>
        <v>319895.180674977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MIN(C38,Input!$B$51)*Input!$B$16</f>
        <v>0</v>
      </c>
      <c r="E38" s="23" t="n">
        <f aca="false">G37</f>
        <v>319895.180674977</v>
      </c>
      <c r="F38" s="23" t="n">
        <f aca="false">E38*Input!$B$14</f>
        <v>1599.47590337489</v>
      </c>
      <c r="G38" s="23" t="n">
        <f aca="false">IF(B38&lt;Input!$B$6,E38+D38+F38,E38)</f>
        <v>319895.180674977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MIN(C39,Input!$B$51)*Input!$B$16</f>
        <v>0</v>
      </c>
      <c r="E39" s="23" t="n">
        <f aca="false">G38</f>
        <v>319895.180674977</v>
      </c>
      <c r="F39" s="23" t="n">
        <f aca="false">E39*Input!$B$14</f>
        <v>1599.47590337489</v>
      </c>
      <c r="G39" s="23" t="n">
        <f aca="false">IF(B39&lt;Input!$B$6,E39+D39+F39,E39)</f>
        <v>319895.180674977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MIN(C40,Input!$B$51)*Input!$B$16</f>
        <v>0</v>
      </c>
      <c r="E40" s="23" t="n">
        <f aca="false">G39</f>
        <v>319895.180674977</v>
      </c>
      <c r="F40" s="23" t="n">
        <f aca="false">E40*Input!$B$14</f>
        <v>1599.47590337489</v>
      </c>
      <c r="G40" s="23" t="n">
        <f aca="false">IF(B40&lt;Input!$B$6,E40+D40+F40,E40)</f>
        <v>319895.180674977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MIN(C41,Input!$B$51)*Input!$B$16</f>
        <v>0</v>
      </c>
      <c r="E41" s="23" t="n">
        <f aca="false">G40</f>
        <v>319895.180674977</v>
      </c>
      <c r="F41" s="23" t="n">
        <f aca="false">E41*Input!$B$14</f>
        <v>1599.47590337489</v>
      </c>
      <c r="G41" s="23" t="n">
        <f aca="false">IF(B41&lt;Input!$B$6,E41+D41+F41,E41)</f>
        <v>319895.180674977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MIN(C42,Input!$B$51)*Input!$B$16</f>
        <v>0</v>
      </c>
      <c r="E42" s="23" t="n">
        <f aca="false">G41</f>
        <v>319895.180674977</v>
      </c>
      <c r="F42" s="23" t="n">
        <f aca="false">E42*Input!$B$14</f>
        <v>1599.47590337489</v>
      </c>
      <c r="G42" s="23" t="n">
        <f aca="false">IF(B42&lt;Input!$B$6,E42+D42+F42,E42)</f>
        <v>319895.180674977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MIN(C43,Input!$B$51)*Input!$B$16</f>
        <v>0</v>
      </c>
      <c r="E43" s="23" t="n">
        <f aca="false">G42</f>
        <v>319895.180674977</v>
      </c>
      <c r="F43" s="23" t="n">
        <f aca="false">E43*Input!$B$14</f>
        <v>1599.47590337489</v>
      </c>
      <c r="G43" s="23" t="n">
        <f aca="false">IF(B43&lt;Input!$B$6,E43+D43+F43,E43)</f>
        <v>319895.180674977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MIN(C44,Input!$B$51)*Input!$B$16</f>
        <v>0</v>
      </c>
      <c r="E44" s="23" t="n">
        <f aca="false">G43</f>
        <v>319895.180674977</v>
      </c>
      <c r="F44" s="23" t="n">
        <f aca="false">E44*Input!$B$14</f>
        <v>1599.47590337489</v>
      </c>
      <c r="G44" s="23" t="n">
        <f aca="false">IF(B44&lt;Input!$B$6,E44+D44+F44,E44)</f>
        <v>319895.180674977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MIN(C45,Input!$B$51)*Input!$B$16</f>
        <v>0</v>
      </c>
      <c r="E45" s="23" t="n">
        <f aca="false">G44</f>
        <v>319895.180674977</v>
      </c>
      <c r="F45" s="23" t="n">
        <f aca="false">E45*Input!$B$14</f>
        <v>1599.47590337489</v>
      </c>
      <c r="G45" s="23" t="n">
        <f aca="false">IF(B45&lt;Input!$B$6,E45+D45+F45,E45)</f>
        <v>319895.180674977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MIN(C46,Input!$B$51)*Input!$B$16</f>
        <v>0</v>
      </c>
      <c r="E46" s="23" t="n">
        <f aca="false">G45</f>
        <v>319895.180674977</v>
      </c>
      <c r="F46" s="23" t="n">
        <f aca="false">E46*Input!$B$14</f>
        <v>1599.47590337489</v>
      </c>
      <c r="G46" s="23" t="n">
        <f aca="false">IF(B46&lt;Input!$B$6,E46+D46+F46,E46)</f>
        <v>319895.180674977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MIN(C47,Input!$B$51)*Input!$B$16</f>
        <v>0</v>
      </c>
      <c r="E47" s="23" t="n">
        <f aca="false">G46</f>
        <v>319895.180674977</v>
      </c>
      <c r="F47" s="23" t="n">
        <f aca="false">E47*Input!$B$14</f>
        <v>1599.47590337489</v>
      </c>
      <c r="G47" s="23" t="n">
        <f aca="false">IF(B47&lt;Input!$B$6,E47+D47+F47,E47)</f>
        <v>319895.180674977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MIN(C48,Input!$B$51)*Input!$B$16</f>
        <v>0</v>
      </c>
      <c r="E48" s="23" t="n">
        <f aca="false">G47</f>
        <v>319895.180674977</v>
      </c>
      <c r="F48" s="23" t="n">
        <f aca="false">E48*Input!$B$14</f>
        <v>1599.47590337489</v>
      </c>
      <c r="G48" s="23" t="n">
        <f aca="false">IF(B48&lt;Input!$B$6,E48+D48+F48,E48)</f>
        <v>319895.180674977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MIN(C49,Input!$B$51)*Input!$B$16</f>
        <v>0</v>
      </c>
      <c r="E49" s="23" t="n">
        <f aca="false">G48</f>
        <v>319895.180674977</v>
      </c>
      <c r="F49" s="23" t="n">
        <f aca="false">E49*Input!$B$14</f>
        <v>1599.47590337489</v>
      </c>
      <c r="G49" s="23" t="n">
        <f aca="false">IF(B49&lt;Input!$B$6,E49+D49+F49,E49)</f>
        <v>319895.180674977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MIN(C50,Input!$B$51)*Input!$B$16</f>
        <v>0</v>
      </c>
      <c r="E50" s="23" t="n">
        <f aca="false">G49</f>
        <v>319895.180674977</v>
      </c>
      <c r="F50" s="23" t="n">
        <f aca="false">E50*Input!$B$14</f>
        <v>1599.47590337489</v>
      </c>
      <c r="G50" s="23" t="n">
        <f aca="false">IF(B50&lt;Input!$B$6,E50+D50+F50,E50)</f>
        <v>319895.180674977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MIN(C51,Input!$B$51)*Input!$B$16</f>
        <v>0</v>
      </c>
      <c r="E51" s="23" t="n">
        <f aca="false">G50</f>
        <v>319895.180674977</v>
      </c>
      <c r="F51" s="23" t="n">
        <f aca="false">E51*Input!$B$14</f>
        <v>1599.47590337489</v>
      </c>
      <c r="G51" s="23" t="n">
        <f aca="false">IF(B51&lt;Input!$B$6,E51+D51+F51,E51)</f>
        <v>319895.180674977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MIN(C52,Input!$B$51)*Input!$B$16</f>
        <v>0</v>
      </c>
      <c r="E52" s="23" t="n">
        <f aca="false">G51</f>
        <v>319895.180674977</v>
      </c>
      <c r="F52" s="23" t="n">
        <f aca="false">E52*Input!$B$14</f>
        <v>1599.47590337489</v>
      </c>
      <c r="G52" s="23" t="n">
        <f aca="false">IF(B52&lt;Input!$B$6,E52+D52+F52,E52)</f>
        <v>319895.180674977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MIN(C53,Input!$B$51)*Input!$B$16</f>
        <v>0</v>
      </c>
      <c r="E53" s="23" t="n">
        <f aca="false">G52</f>
        <v>319895.180674977</v>
      </c>
      <c r="F53" s="23" t="n">
        <f aca="false">E53*Input!$B$14</f>
        <v>1599.47590337489</v>
      </c>
      <c r="G53" s="23" t="n">
        <f aca="false">IF(B53&lt;Input!$B$6,E53+D53+F53,E53)</f>
        <v>319895.180674977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MIN(C54,Input!$B$51)*Input!$B$16</f>
        <v>0</v>
      </c>
      <c r="E54" s="23" t="n">
        <f aca="false">G53</f>
        <v>319895.180674977</v>
      </c>
      <c r="F54" s="23" t="n">
        <f aca="false">E54*Input!$B$14</f>
        <v>1599.47590337489</v>
      </c>
      <c r="G54" s="23" t="n">
        <f aca="false">IF(B54&lt;Input!$B$6,E54+D54+F54,E54)</f>
        <v>319895.180674977</v>
      </c>
    </row>
    <row r="57" customFormat="false" ht="15" hidden="false" customHeight="false" outlineLevel="0" collapsed="false">
      <c r="A57" s="4" t="s">
        <v>98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99</v>
      </c>
      <c r="B58" s="25" t="n">
        <f aca="false">INDEX(G5:G54,MATCH(Input!$B$6-1,B5:B54,0))</f>
        <v>319895.180674977</v>
      </c>
    </row>
    <row r="59" customFormat="false" ht="15" hidden="false" customHeight="false" outlineLevel="0" collapsed="false">
      <c r="A59" s="5" t="s">
        <v>100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101</v>
      </c>
      <c r="B60" s="27" t="n">
        <f aca="false">B58*B59</f>
        <v>13661.1738805992</v>
      </c>
    </row>
    <row r="61" customFormat="false" ht="15" hidden="false" customHeight="false" outlineLevel="0" collapsed="false">
      <c r="A61" s="5" t="s">
        <v>102</v>
      </c>
      <c r="B61" s="25" t="n">
        <f aca="false">B60/13</f>
        <v>1050.85952927686</v>
      </c>
    </row>
    <row r="62" customFormat="false" ht="15" hidden="false" customHeight="false" outlineLevel="0" collapsed="false">
      <c r="A62" s="5" t="s">
        <v>103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104</v>
      </c>
      <c r="B63" s="28" t="n">
        <f aca="false">IF(B62&gt;0,B60/B62,0)</f>
        <v>0.32810555659456</v>
      </c>
    </row>
    <row r="64" customFormat="false" ht="15" hidden="false" customHeight="true" outlineLevel="0" collapsed="false">
      <c r="A64" s="5" t="s">
        <v>105</v>
      </c>
      <c r="B64" s="25" t="n">
        <f aca="false">IF(B60&lt;=28000,B60*0.23,IF(B60&lt;=50000,6440+(B60-28000)*0.33,13700+(B60-50000)*0.43))</f>
        <v>3142.0699925378</v>
      </c>
    </row>
    <row r="65" customFormat="false" ht="15" hidden="false" customHeight="true" outlineLevel="0" collapsed="false">
      <c r="A65" s="5" t="s">
        <v>106</v>
      </c>
      <c r="B65" s="25" t="n">
        <f aca="false">IF(B60&lt;=8500,1955,IF(B60&lt;=28000,700+1255*(28000-B60)/19500,IF(B60&lt;=50000,700*(50000-B60)/22000,0)))</f>
        <v>1622.83214255631</v>
      </c>
    </row>
    <row r="66" customFormat="false" ht="15" hidden="false" customHeight="true" outlineLevel="0" collapsed="false">
      <c r="A66" s="5" t="s">
        <v>107</v>
      </c>
      <c r="B66" s="25" t="n">
        <f aca="false">IF(B64-B65&gt;0,B60*0.02,0)</f>
        <v>273.223477611983</v>
      </c>
    </row>
    <row r="67" customFormat="false" ht="15" hidden="false" customHeight="true" outlineLevel="0" collapsed="false">
      <c r="A67" s="19" t="s">
        <v>108</v>
      </c>
      <c r="B67" s="27" t="n">
        <f aca="false">B60-MAX(0,B64-B65)-B66</f>
        <v>11868.7125530057</v>
      </c>
    </row>
    <row r="68" customFormat="false" ht="15" hidden="false" customHeight="true" outlineLevel="0" collapsed="false">
      <c r="A68" s="5" t="s">
        <v>109</v>
      </c>
      <c r="B68" s="25" t="n">
        <f aca="false">B67/13</f>
        <v>912.977888692744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110</v>
      </c>
      <c r="B1" s="2"/>
      <c r="C1" s="2"/>
      <c r="D1" s="2"/>
    </row>
    <row r="2" customFormat="false" ht="15" hidden="false" customHeight="false" outlineLevel="0" collapsed="false">
      <c r="A2" s="3" t="s">
        <v>111</v>
      </c>
      <c r="B2" s="3"/>
      <c r="C2" s="3"/>
      <c r="D2" s="3"/>
    </row>
    <row r="4" customFormat="false" ht="15" hidden="false" customHeight="false" outlineLevel="0" collapsed="false">
      <c r="A4" s="15" t="s">
        <v>112</v>
      </c>
      <c r="B4" s="15" t="s">
        <v>113</v>
      </c>
      <c r="C4" s="15" t="s">
        <v>114</v>
      </c>
    </row>
    <row r="5" customFormat="false" ht="15" hidden="false" customHeight="false" outlineLevel="0" collapsed="false">
      <c r="A5" s="5" t="s">
        <v>115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33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116</v>
      </c>
    </row>
    <row r="7" customFormat="false" ht="15" hidden="false" customHeight="false" outlineLevel="0" collapsed="false">
      <c r="A7" s="5" t="s">
        <v>117</v>
      </c>
      <c r="B7" s="23" t="n">
        <f aca="false">B6*Input!$B$12</f>
        <v>8133.84</v>
      </c>
      <c r="C7" s="23" t="n">
        <f aca="false">MIN(C6,Input!$B$51)*Input!$B$12</f>
        <v>10428</v>
      </c>
      <c r="D7" s="7" t="s">
        <v>118</v>
      </c>
    </row>
    <row r="8" customFormat="false" ht="15" hidden="false" customHeight="false" outlineLevel="0" collapsed="false">
      <c r="A8" s="5" t="s">
        <v>119</v>
      </c>
      <c r="B8" s="23" t="n">
        <f aca="false">MIN(Input!$B$28,Input!$B$48,Input!$B$52)</f>
        <v>0</v>
      </c>
      <c r="C8" s="23" t="n">
        <f aca="false">MIN(Input!$B$28,Input!$B$48)</f>
        <v>0</v>
      </c>
      <c r="D8" s="7" t="s">
        <v>120</v>
      </c>
    </row>
    <row r="9" customFormat="false" ht="15" hidden="false" customHeight="false" outlineLevel="0" collapsed="false">
      <c r="A9" s="19" t="s">
        <v>121</v>
      </c>
      <c r="B9" s="29" t="n">
        <f aca="false">MAX(0,B6-B7)</f>
        <v>23066.16</v>
      </c>
      <c r="C9" s="29" t="n">
        <f aca="false">MAX(0,C6-C7+Input!$B$52-C8)</f>
        <v>29572</v>
      </c>
    </row>
    <row r="10" customFormat="false" ht="15" hidden="false" customHeight="false" outlineLevel="0" collapsed="false">
      <c r="A10" s="5" t="s">
        <v>122</v>
      </c>
      <c r="B10" s="23" t="n">
        <f aca="false">B9*Input!$B$36+IF(MAX(0,Input!$B$52-B8)&lt;=28000,MAX(0,Input!$B$52-B8)*0.23,IF(MAX(0,Input!$B$52-B8)&lt;=50000,6440+(MAX(0,Input!$B$52-B8)-28000)*0.33,13700+(MAX(0,Input!$B$52-B8)-50000)*0.43))</f>
        <v>3459.924</v>
      </c>
      <c r="C10" s="23" t="n">
        <f aca="false">IF(C9&lt;=28000,C9*0.23,IF(C9&lt;=50000,6440+(C9-28000)*0.33,13700+(C9-50000)*0.43))</f>
        <v>6958.76</v>
      </c>
      <c r="D10" s="7" t="s">
        <v>123</v>
      </c>
    </row>
    <row r="11" customFormat="false" ht="15" hidden="false" customHeight="false" outlineLevel="0" collapsed="false">
      <c r="A11" s="19" t="s">
        <v>124</v>
      </c>
      <c r="B11" s="30" t="n">
        <f aca="false">B6-B7+Input!$B$52-B10</f>
        <v>19606.236</v>
      </c>
      <c r="C11" s="30" t="n">
        <f aca="false">C6-C7+Input!$B$52-C10</f>
        <v>22613.24</v>
      </c>
    </row>
    <row r="13" customFormat="false" ht="15" hidden="false" customHeight="false" outlineLevel="0" collapsed="false">
      <c r="A13" s="4" t="s">
        <v>125</v>
      </c>
      <c r="B13" s="4"/>
      <c r="C13" s="4"/>
      <c r="D13" s="4"/>
    </row>
    <row r="14" customFormat="false" ht="15" hidden="false" customHeight="false" outlineLevel="0" collapsed="false">
      <c r="A14" s="5" t="s">
        <v>126</v>
      </c>
      <c r="B14" s="23" t="n">
        <f aca="false">B9*Input!$B$36+IF(Input!$B$52&lt;=28000,Input!$B$52*0.23,IF(Input!$B$52&lt;=50000,6440+(Input!$B$52-28000)*0.33,13700+(Input!$B$52-50000)*0.43))</f>
        <v>3459.924</v>
      </c>
      <c r="C14" s="23" t="n">
        <f aca="false">IF(MAX(0,C6-C7+Input!$B$52)&lt;=28000,MAX(0,C6-C7+Input!$B$52)*0.23,IF(MAX(0,C6-C7+Input!$B$52)&lt;=50000,6440+(MAX(0,C6-C7+Input!$B$52)-28000)*0.33,13700+(MAX(0,C6-C7+Input!$B$52)-50000)*0.43))</f>
        <v>6958.76</v>
      </c>
    </row>
    <row r="15" customFormat="false" ht="15" hidden="false" customHeight="false" outlineLevel="0" collapsed="false">
      <c r="A15" s="19" t="s">
        <v>127</v>
      </c>
      <c r="B15" s="31" t="n">
        <f aca="false">B14-B10</f>
        <v>0</v>
      </c>
      <c r="C15" s="31" t="n">
        <f aca="false">C14-C10</f>
        <v>0</v>
      </c>
      <c r="D15" s="7" t="s">
        <v>128</v>
      </c>
    </row>
    <row r="17" customFormat="false" ht="15" hidden="false" customHeight="false" outlineLevel="0" collapsed="false">
      <c r="A17" s="32" t="s">
        <v>129</v>
      </c>
      <c r="B17" s="32"/>
      <c r="C17" s="32"/>
      <c r="D17" s="32"/>
    </row>
    <row r="18" customFormat="false" ht="15" hidden="false" customHeight="false" outlineLevel="0" collapsed="false">
      <c r="A18" s="32" t="s">
        <v>130</v>
      </c>
      <c r="B18" s="32"/>
      <c r="C18" s="32"/>
      <c r="D18" s="32"/>
    </row>
    <row r="19" customFormat="false" ht="15" hidden="false" customHeight="false" outlineLevel="0" collapsed="false">
      <c r="A19" s="32" t="s">
        <v>131</v>
      </c>
      <c r="B19" s="32"/>
      <c r="C19" s="32"/>
      <c r="D19" s="32"/>
    </row>
    <row r="20" customFormat="false" ht="15" hidden="false" customHeight="false" outlineLevel="0" collapsed="false">
      <c r="A20" s="32" t="s">
        <v>132</v>
      </c>
      <c r="B20" s="32"/>
      <c r="C20" s="32"/>
      <c r="D20" s="32"/>
    </row>
    <row r="21" customFormat="false" ht="15" hidden="false" customHeight="false" outlineLevel="0" collapsed="false">
      <c r="A21" s="32" t="s">
        <v>133</v>
      </c>
      <c r="B21" s="32"/>
      <c r="C21" s="32"/>
      <c r="D21" s="32"/>
    </row>
    <row r="22" customFormat="false" ht="15" hidden="false" customHeight="false" outlineLevel="0" collapsed="false">
      <c r="A22" s="32" t="s">
        <v>134</v>
      </c>
      <c r="B22" s="32"/>
      <c r="C22" s="32"/>
      <c r="D22" s="32"/>
    </row>
    <row r="23" customFormat="false" ht="15" hidden="false" customHeight="false" outlineLevel="0" collapsed="false">
      <c r="A23" s="32" t="s">
        <v>135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136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137</v>
      </c>
      <c r="D4" s="15" t="s">
        <v>95</v>
      </c>
      <c r="E4" s="15" t="s">
        <v>138</v>
      </c>
      <c r="F4" s="15" t="s">
        <v>97</v>
      </c>
      <c r="G4" s="15" t="s">
        <v>139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140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141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142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143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144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145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146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147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148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149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150</v>
      </c>
      <c r="B1" s="2"/>
      <c r="C1" s="2"/>
      <c r="D1" s="2"/>
    </row>
    <row r="2" customFormat="false" ht="15" hidden="false" customHeight="false" outlineLevel="0" collapsed="false">
      <c r="A2" s="3" t="s">
        <v>151</v>
      </c>
      <c r="B2" s="3"/>
      <c r="C2" s="3"/>
      <c r="D2" s="3"/>
    </row>
    <row r="4" customFormat="false" ht="15" hidden="false" customHeight="false" outlineLevel="0" collapsed="false">
      <c r="A4" s="4" t="s">
        <v>152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13661.1738805992</v>
      </c>
    </row>
    <row r="6" customFormat="false" ht="15" hidden="false" customHeight="false" outlineLevel="0" collapsed="false">
      <c r="A6" s="5" t="s">
        <v>153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154</v>
      </c>
      <c r="B7" s="27" t="n">
        <f aca="false">B5+B6</f>
        <v>13661.1738805992</v>
      </c>
    </row>
    <row r="8" customFormat="false" ht="15" hidden="false" customHeight="false" outlineLevel="0" collapsed="false">
      <c r="A8" s="5" t="s">
        <v>155</v>
      </c>
      <c r="B8" s="11" t="n">
        <f aca="false">B7/13</f>
        <v>1050.85952927686</v>
      </c>
    </row>
    <row r="9" customFormat="false" ht="15" hidden="false" customHeight="true" outlineLevel="0" collapsed="false">
      <c r="A9" s="19" t="s">
        <v>156</v>
      </c>
      <c r="B9" s="27" t="n">
        <f aca="false">Previdenza!B67+Complementare!B62</f>
        <v>11868.7125530057</v>
      </c>
    </row>
    <row r="10" customFormat="false" ht="15" hidden="false" customHeight="false" outlineLevel="0" collapsed="false">
      <c r="A10" s="4" t="s">
        <v>157</v>
      </c>
      <c r="B10" s="4"/>
      <c r="C10" s="4"/>
      <c r="D10" s="4"/>
    </row>
    <row r="11" customFormat="false" ht="15" hidden="false" customHeight="false" outlineLevel="0" collapsed="false">
      <c r="A11" s="5" t="s">
        <v>158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159</v>
      </c>
      <c r="B12" s="12" t="n">
        <f aca="false">IF(B11&gt;0,B5/B11,0)</f>
        <v>0.32810555659456</v>
      </c>
    </row>
    <row r="13" customFormat="false" ht="15" hidden="false" customHeight="false" outlineLevel="0" collapsed="false">
      <c r="A13" s="19" t="s">
        <v>160</v>
      </c>
      <c r="B13" s="28" t="n">
        <f aca="false">IF(B11&gt;0,B7/B11,0)</f>
        <v>0.32810555659456</v>
      </c>
    </row>
    <row r="14" customFormat="false" ht="15" hidden="false" customHeight="false" outlineLevel="0" collapsed="false">
      <c r="A14" s="19" t="s">
        <v>161</v>
      </c>
      <c r="B14" s="27" t="n">
        <f aca="false">MAX(0,B11-B7)</f>
        <v>27975.3470682985</v>
      </c>
      <c r="C14" s="7" t="s">
        <v>162</v>
      </c>
    </row>
    <row r="15" customFormat="false" ht="15" hidden="false" customHeight="false" outlineLevel="0" collapsed="false">
      <c r="A15" s="5" t="s">
        <v>163</v>
      </c>
      <c r="B15" s="25" t="n">
        <f aca="false">B14/13</f>
        <v>2151.9497744845</v>
      </c>
    </row>
    <row r="17" customFormat="false" ht="15" hidden="false" customHeight="false" outlineLevel="0" collapsed="false">
      <c r="A17" s="4" t="s">
        <v>164</v>
      </c>
      <c r="B17" s="4"/>
      <c r="C17" s="4"/>
      <c r="D17" s="4"/>
    </row>
    <row r="18" customFormat="false" ht="15" hidden="false" customHeight="false" outlineLevel="0" collapsed="false">
      <c r="A18" s="7" t="s">
        <v>165</v>
      </c>
    </row>
    <row r="19" customFormat="false" ht="15" hidden="false" customHeight="false" outlineLevel="0" collapsed="false">
      <c r="A19" s="15" t="s">
        <v>166</v>
      </c>
      <c r="B19" s="15" t="s">
        <v>167</v>
      </c>
      <c r="C19" s="15" t="s">
        <v>168</v>
      </c>
    </row>
    <row r="20" customFormat="false" ht="15" hidden="false" customHeight="false" outlineLevel="0" collapsed="false">
      <c r="A20" s="33" t="s">
        <v>169</v>
      </c>
      <c r="B20" s="23" t="n">
        <f aca="false">B5</f>
        <v>13661.1738805992</v>
      </c>
      <c r="C20" s="34" t="n">
        <f aca="false">IF(B11&gt;0,B5/B11,0)</f>
        <v>0.32810555659456</v>
      </c>
    </row>
    <row r="21" customFormat="false" ht="15" hidden="false" customHeight="false" outlineLevel="0" collapsed="false">
      <c r="A21" s="33" t="s">
        <v>170</v>
      </c>
      <c r="B21" s="23" t="n">
        <f aca="false">B7</f>
        <v>13661.1738805992</v>
      </c>
      <c r="C21" s="34" t="n">
        <f aca="false">IF(B11&gt;0,B7/B11,0)</f>
        <v>0.32810555659456</v>
      </c>
    </row>
    <row r="23" customFormat="false" ht="15" hidden="false" customHeight="false" outlineLevel="0" collapsed="false">
      <c r="A23" s="32" t="s">
        <v>171</v>
      </c>
      <c r="B23" s="32"/>
      <c r="C23" s="32"/>
      <c r="D23" s="32"/>
    </row>
    <row r="24" customFormat="false" ht="15" hidden="false" customHeight="false" outlineLevel="0" collapsed="false">
      <c r="A24" s="32" t="s">
        <v>172</v>
      </c>
      <c r="B24" s="32"/>
      <c r="C24" s="32"/>
      <c r="D24" s="32"/>
    </row>
    <row r="25" customFormat="false" ht="15" hidden="false" customHeight="false" outlineLevel="0" collapsed="false">
      <c r="A25" s="32" t="s">
        <v>173</v>
      </c>
      <c r="B25" s="32"/>
      <c r="C25" s="32"/>
      <c r="D25" s="32"/>
    </row>
    <row r="26" customFormat="false" ht="15" hidden="false" customHeight="false" outlineLevel="0" collapsed="false">
      <c r="A26" s="32" t="s">
        <v>174</v>
      </c>
      <c r="B26" s="32"/>
      <c r="C26" s="32"/>
      <c r="D26" s="32"/>
    </row>
    <row r="27" customFormat="false" ht="15" hidden="false" customHeight="false" outlineLevel="0" collapsed="false">
      <c r="A27" s="32" t="s">
        <v>175</v>
      </c>
      <c r="B27" s="32"/>
      <c r="C27" s="32"/>
      <c r="D27" s="32"/>
    </row>
    <row r="29" customFormat="false" ht="15" hidden="false" customHeight="true" outlineLevel="0" collapsed="false">
      <c r="A29" s="4" t="s">
        <v>176</v>
      </c>
      <c r="B29" s="4"/>
      <c r="C29" s="4"/>
      <c r="D29" s="4"/>
    </row>
    <row r="30" customFormat="false" ht="15" hidden="false" customHeight="true" outlineLevel="0" collapsed="false">
      <c r="A30" s="7" t="s">
        <v>177</v>
      </c>
    </row>
    <row r="31" customFormat="false" ht="15" hidden="false" customHeight="true" outlineLevel="0" collapsed="false">
      <c r="A31" s="15" t="s">
        <v>112</v>
      </c>
      <c r="B31" s="15" t="s">
        <v>178</v>
      </c>
      <c r="C31" s="15" t="s">
        <v>179</v>
      </c>
      <c r="D31" s="15" t="s">
        <v>180</v>
      </c>
    </row>
    <row r="32" customFormat="false" ht="15" hidden="false" customHeight="true" outlineLevel="0" collapsed="false">
      <c r="A32" s="33" t="s">
        <v>35</v>
      </c>
      <c r="B32" s="34" t="n">
        <f aca="false">Input!$B$24-0.01</f>
        <v>0</v>
      </c>
      <c r="C32" s="34" t="n">
        <f aca="false">Input!$B$24</f>
        <v>0.01</v>
      </c>
      <c r="D32" s="34" t="n">
        <f aca="false">Input!$B$24+0.01</f>
        <v>0.02</v>
      </c>
    </row>
    <row r="33" customFormat="false" ht="15" hidden="false" customHeight="true" outlineLevel="0" collapsed="false">
      <c r="A33" s="33" t="s">
        <v>181</v>
      </c>
      <c r="B33" s="34" t="n">
        <f aca="false">Input!$B$14-0.005</f>
        <v>0</v>
      </c>
      <c r="C33" s="34" t="n">
        <f aca="false">Input!$B$14</f>
        <v>0.005</v>
      </c>
      <c r="D33" s="34" t="n">
        <f aca="false">Input!$B$14+0.005</f>
        <v>0.01</v>
      </c>
    </row>
    <row r="34" customFormat="false" ht="15" hidden="false" customHeight="true" outlineLevel="0" collapsed="false">
      <c r="A34" s="33" t="s">
        <v>19</v>
      </c>
      <c r="B34" s="34" t="n">
        <f aca="false">Input!$B$15+0.004</f>
        <v>0.022</v>
      </c>
      <c r="C34" s="34" t="n">
        <f aca="false">Input!$B$15</f>
        <v>0.018</v>
      </c>
      <c r="D34" s="34" t="n">
        <f aca="false">MAX(0,Input!$B$15-0.003)</f>
        <v>0.015</v>
      </c>
    </row>
    <row r="35" customFormat="false" ht="15" hidden="false" customHeight="true" outlineLevel="0" collapsed="false">
      <c r="A35" s="33" t="s">
        <v>182</v>
      </c>
      <c r="B35" s="34" t="n">
        <f aca="false">Input!$B$29-Input!$B$30-0.01</f>
        <v>0.01</v>
      </c>
      <c r="C35" s="34" t="n">
        <f aca="false">Input!$B$29-Input!$B$30</f>
        <v>0.02</v>
      </c>
      <c r="D35" s="34" t="n">
        <f aca="false">Input!$B$29-Input!$B$30+0.01</f>
        <v>0.03</v>
      </c>
    </row>
    <row r="36" customFormat="false" ht="15" hidden="false" customHeight="true" outlineLevel="0" collapsed="false">
      <c r="A36" s="33" t="s">
        <v>183</v>
      </c>
      <c r="B36" s="23" t="n">
        <f aca="false">(Input!$B$13*(1+B33)^Input!$B$7+SUMPRODUCT((Previdenza!$A$5:$A$54&lt;Input!$B$7)*((Input!$B$23*(1+B32)^Previdenza!$A$5:$A$54+Input!$B$51-ABS(Input!$B$23*(1+B32)^Previdenza!$A$5:$A$54-Input!$B$51))/2)*Input!$B$16*(1+B33)^(Input!$B$7-1-Previdenza!$A$5:$A$54)))*Input!$B$43*((1-B34)/(1-Input!$B$15))^(Input!$B$7/2)</f>
        <v>10403.7663667322</v>
      </c>
      <c r="C36" s="23" t="n">
        <f aca="false">(Input!$B$13*(1+C33)^Input!$B$7+SUMPRODUCT((Previdenza!$A$5:$A$54&lt;Input!$B$7)*((Input!$B$23*(1+C32)^Previdenza!$A$5:$A$54+Input!$B$51-ABS(Input!$B$23*(1+C32)^Previdenza!$A$5:$A$54-Input!$B$51))/2)*Input!$B$16*(1+C33)^(Input!$B$7-1-Previdenza!$A$5:$A$54)))*Input!$B$43*((1-C34)/(1-Input!$B$15))^(Input!$B$7/2)</f>
        <v>13661.1738805991</v>
      </c>
      <c r="D36" s="23" t="n">
        <f aca="false">(Input!$B$13*(1+D33)^Input!$B$7+SUMPRODUCT((Previdenza!$A$5:$A$54&lt;Input!$B$7)*((Input!$B$23*(1+D32)^Previdenza!$A$5:$A$54+Input!$B$51-ABS(Input!$B$23*(1+D32)^Previdenza!$A$5:$A$54-Input!$B$51))/2)*Input!$B$16*(1+D33)^(Input!$B$7-1-Previdenza!$A$5:$A$54)))*Input!$B$43*((1-D34)/(1-Input!$B$15))^(Input!$B$7/2)</f>
        <v>17668.8414083922</v>
      </c>
    </row>
    <row r="37" customFormat="false" ht="15" hidden="false" customHeight="true" outlineLevel="0" collapsed="false">
      <c r="A37" s="33" t="s">
        <v>184</v>
      </c>
      <c r="B37" s="23" t="n">
        <f aca="false">B36-MAX(0,IF(B36&lt;=28000,B36*0.23,IF(B36&lt;=50000,6440+(B36-28000)*0.33,13700+(B36-50000)*0.43))-IF(B36&lt;=8500,1955,IF(B36&lt;=28000,700+1255*(28000-B36)/19500,IF(B36&lt;=50000,700*(50000-B36)/22000,0))))-IF(IF(B36&lt;=28000,B36*0.23,IF(B36&lt;=50000,6440+(B36-28000)*0.33,13700+(B36-50000)*0.43))-IF(B36&lt;=8500,1955,IF(B36&lt;=28000,700+1255*(28000-B36)/19500,IF(B36&lt;=50000,700*(50000-B36)/22000,0)))&gt;0,B36*0.02,0)</f>
        <v>9635.30032426718</v>
      </c>
      <c r="C37" s="23" t="n">
        <f aca="false">C36-MAX(0,IF(C36&lt;=28000,C36*0.23,IF(C36&lt;=50000,6440+(C36-28000)*0.33,13700+(C36-50000)*0.43))-IF(C36&lt;=8500,1955,IF(C36&lt;=28000,700+1255*(28000-C36)/19500,IF(C36&lt;=50000,700*(50000-C36)/22000,0))))-IF(IF(C36&lt;=28000,C36*0.23,IF(C36&lt;=50000,6440+(C36-28000)*0.33,13700+(C36-50000)*0.43))-IF(C36&lt;=8500,1955,IF(C36&lt;=28000,700+1255*(28000-C36)/19500,IF(C36&lt;=50000,700*(50000-C36)/22000,0)))&gt;0,C36*0.02,0)</f>
        <v>11868.7125530057</v>
      </c>
      <c r="D37" s="23" t="n">
        <f aca="false">D36-MAX(0,IF(D36&lt;=28000,D36*0.23,IF(D36&lt;=50000,6440+(D36-28000)*0.33,13700+(D36-50000)*0.43))-IF(D36&lt;=8500,1955,IF(D36&lt;=28000,700+1255*(28000-D36)/19500,IF(D36&lt;=50000,700*(50000-D36)/22000,0))))-IF(IF(D36&lt;=28000,D36*0.23,IF(D36&lt;=50000,6440+(D36-28000)*0.33,13700+(D36-50000)*0.43))-IF(D36&lt;=8500,1955,IF(D36&lt;=28000,700+1255*(28000-D36)/19500,IF(D36&lt;=50000,700*(50000-D36)/22000,0)))&gt;0,D36*0.02,0)</f>
        <v>14616.5338271899</v>
      </c>
    </row>
    <row r="38" customFormat="false" ht="15" hidden="false" customHeight="true" outlineLevel="0" collapsed="false">
      <c r="A38" s="33" t="s">
        <v>185</v>
      </c>
      <c r="B38" s="23" t="n">
        <f aca="false">((Input!$B$31*(1+B35)^Input!$B$7+Input!$B$28*SUMPRODUCT((Complementare!$A$5:$A$54&lt;Input!$B$7)*(1+B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B34)/(1-Input!$B$15))^(Input!$B$7/2)</f>
        <v>0</v>
      </c>
      <c r="C38" s="23" t="n">
        <f aca="false">((Input!$B$31*(1+C35)^Input!$B$7+Input!$B$28*SUMPRODUCT((Complementare!$A$5:$A$54&lt;Input!$B$7)*(1+C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C34)/(1-Input!$B$15))^(Input!$B$7/2)</f>
        <v>0</v>
      </c>
      <c r="D38" s="23" t="n">
        <f aca="false">((Input!$B$31*(1+D35)^Input!$B$7+Input!$B$28*SUMPRODUCT((Complementare!$A$5:$A$54&lt;Input!$B$7)*(1+D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D34)/(1-Input!$B$15))^(Input!$B$7/2)</f>
        <v>0</v>
      </c>
    </row>
    <row r="39" customFormat="false" ht="15" hidden="false" customHeight="true" outlineLevel="0" collapsed="false">
      <c r="A39" s="33" t="s">
        <v>186</v>
      </c>
      <c r="B39" s="30" t="n">
        <f aca="false">B37+B38</f>
        <v>9635.30032426718</v>
      </c>
      <c r="C39" s="30" t="n">
        <f aca="false">C37+C38</f>
        <v>11868.7125530057</v>
      </c>
      <c r="D39" s="30" t="n">
        <f aca="false">D37+D38</f>
        <v>14616.5338271899</v>
      </c>
    </row>
    <row r="40" customFormat="false" ht="15" hidden="false" customHeight="true" outlineLevel="0" collapsed="false">
      <c r="A40" s="33" t="s">
        <v>187</v>
      </c>
      <c r="B40" s="23" t="n">
        <f aca="false">Input!$B$55</f>
        <v>18720</v>
      </c>
      <c r="C40" s="23" t="n">
        <f aca="false">Input!$B$55</f>
        <v>18720</v>
      </c>
      <c r="D40" s="23" t="n">
        <f aca="false">Input!$B$55</f>
        <v>18720</v>
      </c>
    </row>
    <row r="41" customFormat="false" ht="15" hidden="false" customHeight="true" outlineLevel="0" collapsed="false">
      <c r="A41" s="33" t="s">
        <v>188</v>
      </c>
      <c r="B41" s="31" t="n">
        <f aca="false">B40-B39</f>
        <v>9084.69967573282</v>
      </c>
      <c r="C41" s="31" t="n">
        <f aca="false">C40-C39</f>
        <v>6851.28744699434</v>
      </c>
      <c r="D41" s="31" t="n">
        <f aca="false">D40-D39</f>
        <v>4103.46617281006</v>
      </c>
    </row>
    <row r="42" customFormat="false" ht="15" hidden="false" customHeight="true" outlineLevel="0" collapsed="false">
      <c r="A42" s="33" t="s">
        <v>189</v>
      </c>
      <c r="B42" s="34" t="n">
        <f aca="false">IFERROR(B41/B40,0)</f>
        <v>0.485293786096839</v>
      </c>
      <c r="C42" s="34" t="n">
        <f aca="false">IFERROR(C41/C40,0)</f>
        <v>0.365987577296706</v>
      </c>
      <c r="D42" s="34" t="n">
        <f aca="false">IFERROR(D41/D40,0)</f>
        <v>0.21920225282105</v>
      </c>
    </row>
    <row r="44" customFormat="false" ht="15" hidden="false" customHeight="true" outlineLevel="0" collapsed="false">
      <c r="A44" s="32" t="s">
        <v>190</v>
      </c>
      <c r="B44" s="32"/>
      <c r="C44" s="32"/>
      <c r="D44" s="32"/>
    </row>
  </sheetData>
  <mergeCells count="12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  <mergeCell ref="A29:D2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